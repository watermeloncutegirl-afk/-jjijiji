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eads" sheetId="2" state="visible" r:id="rId2"/>
    <sheet name="Partners" sheetId="3" state="visible" r:id="rId3"/>
    <sheet name="Settings" sheetId="4" state="visible" r:id="rId4"/>
    <sheet name="How to use" sheetId="5" state="visible" r:id="rId5"/>
    <sheet name="Lists" sheetId="6" state="visible" r:id="rId6"/>
  </sheets>
  <definedNames>
    <definedName name="_xlnm._FilterDatabase" localSheetId="1" hidden="1">'Leads'!$A$1:$S$501</definedName>
    <definedName name="_xlnm._FilterDatabase" localSheetId="2" hidden="1">'Partners'!$A$1:$P$501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"/>
    <numFmt numFmtId="165" formatCode="yyyy-mm-dd"/>
    <numFmt numFmtId="166" formatCode="£#,##0;(£#,##0);-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i val="1"/>
      <color rgb="007F7F7F"/>
    </font>
    <font>
      <name val="Arial"/>
      <b val="1"/>
      <sz val="16"/>
    </font>
    <font>
      <name val="Arial"/>
      <b val="1"/>
      <sz val="14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top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6" fontId="2" fillId="0" borderId="0" pivotButton="0" quotePrefix="0" xfId="0"/>
    <xf numFmtId="0" fontId="4" fillId="0" borderId="2" pivotButton="0" quotePrefix="0" xfId="0"/>
    <xf numFmtId="9" fontId="4" fillId="0" borderId="2" pivotButton="0" quotePrefix="0" xfId="0"/>
    <xf numFmtId="166" fontId="4" fillId="0" borderId="2" pivotButton="0" quotePrefix="0" xfId="0"/>
    <xf numFmtId="0" fontId="4" fillId="0" borderId="0" pivotButton="0" quotePrefix="0" xfId="0"/>
    <xf numFmtId="1" fontId="4" fillId="0" borderId="0" pivotButton="0" quotePrefix="0" xfId="0"/>
    <xf numFmtId="166" fontId="4" fillId="0" borderId="0" pivotButton="0" quotePrefix="0" xfId="0"/>
    <xf numFmtId="165" fontId="5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165" fontId="2" fillId="0" borderId="1" pivotButton="0" quotePrefix="0" xfId="0"/>
    <xf numFmtId="0" fontId="2" fillId="0" borderId="1" pivotButton="0" quotePrefix="0" xfId="0"/>
    <xf numFmtId="166" fontId="2" fillId="0" borderId="1" pivotButton="0" quotePrefix="0" xfId="0"/>
    <xf numFmtId="9" fontId="3" fillId="3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  <dxf>
      <font>
        <name val="Arial"/>
        <b val="1"/>
        <color rgb="009C0006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Tracker</author>
  </authors>
  <commentList>
    <comment ref="K1" authorId="0" shapeId="0">
      <text>
        <t>Auto: Contacted on + follow-up days (Settings). Turns red when due. Clears once they reply or the lead is closed.</t>
      </text>
    </comment>
    <comment ref="Q1" authorId="0" shapeId="0">
      <text>
        <t>Auto: first-project commission if Won, referred, and at/above the minimum deal (Settings).</t>
      </text>
    </comment>
  </commentList>
</comments>
</file>

<file path=xl/comments/comment2.xml><?xml version="1.0" encoding="utf-8"?>
<comments xmlns="http://schemas.openxmlformats.org/spreadsheetml/2006/main">
  <authors>
    <author>Tracker</author>
  </authors>
  <commentList>
    <comment ref="M1" authorId="0" shapeId="0">
      <text>
        <t>First-project commissions + bonus. Retainer commission is monthly: add each month's payout to 'Paid to date' when you pay it, and track it in Notes.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Lead-gen dashboard</t>
        </is>
      </c>
    </row>
    <row r="2">
      <c r="A2" s="2" t="inlineStr">
        <is>
          <t>Everything here is calculated from the Leads tab. Don't type in this tab.</t>
        </is>
      </c>
    </row>
    <row r="4" ht="32" customHeight="1">
      <c r="A4" s="3" t="inlineStr">
        <is>
          <t>Platform</t>
        </is>
      </c>
      <c r="B4" s="3" t="inlineStr">
        <is>
          <t>Leads</t>
        </is>
      </c>
      <c r="C4" s="3" t="inlineStr">
        <is>
          <t>Contacted</t>
        </is>
      </c>
      <c r="D4" s="3" t="inlineStr">
        <is>
          <t>Replied</t>
        </is>
      </c>
      <c r="E4" s="3" t="inlineStr">
        <is>
          <t>Calls</t>
        </is>
      </c>
      <c r="F4" s="3" t="inlineStr">
        <is>
          <t>Won</t>
        </is>
      </c>
      <c r="G4" s="3" t="inlineStr">
        <is>
          <t>Reply rate</t>
        </is>
      </c>
      <c r="H4" s="3" t="inlineStr">
        <is>
          <t>Call rate</t>
        </is>
      </c>
      <c r="I4" s="3" t="inlineStr">
        <is>
          <t>Close rate (of contacted)</t>
        </is>
      </c>
      <c r="J4" s="3" t="inlineStr">
        <is>
          <t>Revenue won (£)</t>
        </is>
      </c>
    </row>
    <row r="5">
      <c r="A5" s="4">
        <f>Lists!$A$2</f>
        <v/>
      </c>
      <c r="B5" s="4">
        <f>COUNTIF(Leads!$E$2:$E$501,A5)</f>
        <v/>
      </c>
      <c r="C5" s="4">
        <f>COUNTIFS(Leads!$E$2:$E$501,A5,Leads!$J$2:$J$501,"&lt;&gt;")</f>
        <v/>
      </c>
      <c r="D5" s="4">
        <f>COUNTIFS(Leads!$E$2:$E$501,A5,Leads!$L$2:$L$501,"Yes")</f>
        <v/>
      </c>
      <c r="E5" s="4">
        <f>COUNTIFS(Leads!$E$2:$E$501,A5,Leads!$M$2:$M$501,"Yes")</f>
        <v/>
      </c>
      <c r="F5" s="4">
        <f>COUNTIFS(Leads!$E$2:$E$501,A5,Leads!$I$2:$I$501,"Won")</f>
        <v/>
      </c>
      <c r="G5" s="5">
        <f>IF(C5=0,0,D5/C5)</f>
        <v/>
      </c>
      <c r="H5" s="5">
        <f>IF(C5=0,0,E5/C5)</f>
        <v/>
      </c>
      <c r="I5" s="5">
        <f>IF(C5=0,0,F5/C5)</f>
        <v/>
      </c>
      <c r="J5" s="6">
        <f>SUMIFS(Leads!$N$2:$N$501,Leads!$E$2:$E$501,A5,Leads!$I$2:$I$501,"Won")</f>
        <v/>
      </c>
    </row>
    <row r="6">
      <c r="A6" s="4">
        <f>Lists!$A$3</f>
        <v/>
      </c>
      <c r="B6" s="4">
        <f>COUNTIF(Leads!$E$2:$E$501,A6)</f>
        <v/>
      </c>
      <c r="C6" s="4">
        <f>COUNTIFS(Leads!$E$2:$E$501,A6,Leads!$J$2:$J$501,"&lt;&gt;")</f>
        <v/>
      </c>
      <c r="D6" s="4">
        <f>COUNTIFS(Leads!$E$2:$E$501,A6,Leads!$L$2:$L$501,"Yes")</f>
        <v/>
      </c>
      <c r="E6" s="4">
        <f>COUNTIFS(Leads!$E$2:$E$501,A6,Leads!$M$2:$M$501,"Yes")</f>
        <v/>
      </c>
      <c r="F6" s="4">
        <f>COUNTIFS(Leads!$E$2:$E$501,A6,Leads!$I$2:$I$501,"Won")</f>
        <v/>
      </c>
      <c r="G6" s="5">
        <f>IF(C6=0,0,D6/C6)</f>
        <v/>
      </c>
      <c r="H6" s="5">
        <f>IF(C6=0,0,E6/C6)</f>
        <v/>
      </c>
      <c r="I6" s="5">
        <f>IF(C6=0,0,F6/C6)</f>
        <v/>
      </c>
      <c r="J6" s="6">
        <f>SUMIFS(Leads!$N$2:$N$501,Leads!$E$2:$E$501,A6,Leads!$I$2:$I$501,"Won")</f>
        <v/>
      </c>
    </row>
    <row r="7">
      <c r="A7" s="4">
        <f>Lists!$A$4</f>
        <v/>
      </c>
      <c r="B7" s="4">
        <f>COUNTIF(Leads!$E$2:$E$501,A7)</f>
        <v/>
      </c>
      <c r="C7" s="4">
        <f>COUNTIFS(Leads!$E$2:$E$501,A7,Leads!$J$2:$J$501,"&lt;&gt;")</f>
        <v/>
      </c>
      <c r="D7" s="4">
        <f>COUNTIFS(Leads!$E$2:$E$501,A7,Leads!$L$2:$L$501,"Yes")</f>
        <v/>
      </c>
      <c r="E7" s="4">
        <f>COUNTIFS(Leads!$E$2:$E$501,A7,Leads!$M$2:$M$501,"Yes")</f>
        <v/>
      </c>
      <c r="F7" s="4">
        <f>COUNTIFS(Leads!$E$2:$E$501,A7,Leads!$I$2:$I$501,"Won")</f>
        <v/>
      </c>
      <c r="G7" s="5">
        <f>IF(C7=0,0,D7/C7)</f>
        <v/>
      </c>
      <c r="H7" s="5">
        <f>IF(C7=0,0,E7/C7)</f>
        <v/>
      </c>
      <c r="I7" s="5">
        <f>IF(C7=0,0,F7/C7)</f>
        <v/>
      </c>
      <c r="J7" s="6">
        <f>SUMIFS(Leads!$N$2:$N$501,Leads!$E$2:$E$501,A7,Leads!$I$2:$I$501,"Won")</f>
        <v/>
      </c>
    </row>
    <row r="8">
      <c r="A8" s="4">
        <f>Lists!$A$5</f>
        <v/>
      </c>
      <c r="B8" s="4">
        <f>COUNTIF(Leads!$E$2:$E$501,A8)</f>
        <v/>
      </c>
      <c r="C8" s="4">
        <f>COUNTIFS(Leads!$E$2:$E$501,A8,Leads!$J$2:$J$501,"&lt;&gt;")</f>
        <v/>
      </c>
      <c r="D8" s="4">
        <f>COUNTIFS(Leads!$E$2:$E$501,A8,Leads!$L$2:$L$501,"Yes")</f>
        <v/>
      </c>
      <c r="E8" s="4">
        <f>COUNTIFS(Leads!$E$2:$E$501,A8,Leads!$M$2:$M$501,"Yes")</f>
        <v/>
      </c>
      <c r="F8" s="4">
        <f>COUNTIFS(Leads!$E$2:$E$501,A8,Leads!$I$2:$I$501,"Won")</f>
        <v/>
      </c>
      <c r="G8" s="5">
        <f>IF(C8=0,0,D8/C8)</f>
        <v/>
      </c>
      <c r="H8" s="5">
        <f>IF(C8=0,0,E8/C8)</f>
        <v/>
      </c>
      <c r="I8" s="5">
        <f>IF(C8=0,0,F8/C8)</f>
        <v/>
      </c>
      <c r="J8" s="6">
        <f>SUMIFS(Leads!$N$2:$N$501,Leads!$E$2:$E$501,A8,Leads!$I$2:$I$501,"Won")</f>
        <v/>
      </c>
    </row>
    <row r="9">
      <c r="A9" s="4">
        <f>Lists!$A$6</f>
        <v/>
      </c>
      <c r="B9" s="4">
        <f>COUNTIF(Leads!$E$2:$E$501,A9)</f>
        <v/>
      </c>
      <c r="C9" s="4">
        <f>COUNTIFS(Leads!$E$2:$E$501,A9,Leads!$J$2:$J$501,"&lt;&gt;")</f>
        <v/>
      </c>
      <c r="D9" s="4">
        <f>COUNTIFS(Leads!$E$2:$E$501,A9,Leads!$L$2:$L$501,"Yes")</f>
        <v/>
      </c>
      <c r="E9" s="4">
        <f>COUNTIFS(Leads!$E$2:$E$501,A9,Leads!$M$2:$M$501,"Yes")</f>
        <v/>
      </c>
      <c r="F9" s="4">
        <f>COUNTIFS(Leads!$E$2:$E$501,A9,Leads!$I$2:$I$501,"Won")</f>
        <v/>
      </c>
      <c r="G9" s="5">
        <f>IF(C9=0,0,D9/C9)</f>
        <v/>
      </c>
      <c r="H9" s="5">
        <f>IF(C9=0,0,E9/C9)</f>
        <v/>
      </c>
      <c r="I9" s="5">
        <f>IF(C9=0,0,F9/C9)</f>
        <v/>
      </c>
      <c r="J9" s="6">
        <f>SUMIFS(Leads!$N$2:$N$501,Leads!$E$2:$E$501,A9,Leads!$I$2:$I$501,"Won")</f>
        <v/>
      </c>
    </row>
    <row r="10">
      <c r="A10" s="4">
        <f>Lists!$A$7</f>
        <v/>
      </c>
      <c r="B10" s="4">
        <f>COUNTIF(Leads!$E$2:$E$501,A10)</f>
        <v/>
      </c>
      <c r="C10" s="4">
        <f>COUNTIFS(Leads!$E$2:$E$501,A10,Leads!$J$2:$J$501,"&lt;&gt;")</f>
        <v/>
      </c>
      <c r="D10" s="4">
        <f>COUNTIFS(Leads!$E$2:$E$501,A10,Leads!$L$2:$L$501,"Yes")</f>
        <v/>
      </c>
      <c r="E10" s="4">
        <f>COUNTIFS(Leads!$E$2:$E$501,A10,Leads!$M$2:$M$501,"Yes")</f>
        <v/>
      </c>
      <c r="F10" s="4">
        <f>COUNTIFS(Leads!$E$2:$E$501,A10,Leads!$I$2:$I$501,"Won")</f>
        <v/>
      </c>
      <c r="G10" s="5">
        <f>IF(C10=0,0,D10/C10)</f>
        <v/>
      </c>
      <c r="H10" s="5">
        <f>IF(C10=0,0,E10/C10)</f>
        <v/>
      </c>
      <c r="I10" s="5">
        <f>IF(C10=0,0,F10/C10)</f>
        <v/>
      </c>
      <c r="J10" s="6">
        <f>SUMIFS(Leads!$N$2:$N$501,Leads!$E$2:$E$501,A10,Leads!$I$2:$I$501,"Won")</f>
        <v/>
      </c>
    </row>
    <row r="11">
      <c r="A11" s="4">
        <f>Lists!$A$8</f>
        <v/>
      </c>
      <c r="B11" s="4">
        <f>COUNTIF(Leads!$E$2:$E$501,A11)</f>
        <v/>
      </c>
      <c r="C11" s="4">
        <f>COUNTIFS(Leads!$E$2:$E$501,A11,Leads!$J$2:$J$501,"&lt;&gt;")</f>
        <v/>
      </c>
      <c r="D11" s="4">
        <f>COUNTIFS(Leads!$E$2:$E$501,A11,Leads!$L$2:$L$501,"Yes")</f>
        <v/>
      </c>
      <c r="E11" s="4">
        <f>COUNTIFS(Leads!$E$2:$E$501,A11,Leads!$M$2:$M$501,"Yes")</f>
        <v/>
      </c>
      <c r="F11" s="4">
        <f>COUNTIFS(Leads!$E$2:$E$501,A11,Leads!$I$2:$I$501,"Won")</f>
        <v/>
      </c>
      <c r="G11" s="5">
        <f>IF(C11=0,0,D11/C11)</f>
        <v/>
      </c>
      <c r="H11" s="5">
        <f>IF(C11=0,0,E11/C11)</f>
        <v/>
      </c>
      <c r="I11" s="5">
        <f>IF(C11=0,0,F11/C11)</f>
        <v/>
      </c>
      <c r="J11" s="6">
        <f>SUMIFS(Leads!$N$2:$N$501,Leads!$E$2:$E$501,A11,Leads!$I$2:$I$501,"Won")</f>
        <v/>
      </c>
    </row>
    <row r="12">
      <c r="A12" s="4">
        <f>Lists!$A$9</f>
        <v/>
      </c>
      <c r="B12" s="4">
        <f>COUNTIF(Leads!$E$2:$E$501,A12)</f>
        <v/>
      </c>
      <c r="C12" s="4">
        <f>COUNTIFS(Leads!$E$2:$E$501,A12,Leads!$J$2:$J$501,"&lt;&gt;")</f>
        <v/>
      </c>
      <c r="D12" s="4">
        <f>COUNTIFS(Leads!$E$2:$E$501,A12,Leads!$L$2:$L$501,"Yes")</f>
        <v/>
      </c>
      <c r="E12" s="4">
        <f>COUNTIFS(Leads!$E$2:$E$501,A12,Leads!$M$2:$M$501,"Yes")</f>
        <v/>
      </c>
      <c r="F12" s="4">
        <f>COUNTIFS(Leads!$E$2:$E$501,A12,Leads!$I$2:$I$501,"Won")</f>
        <v/>
      </c>
      <c r="G12" s="5">
        <f>IF(C12=0,0,D12/C12)</f>
        <v/>
      </c>
      <c r="H12" s="5">
        <f>IF(C12=0,0,E12/C12)</f>
        <v/>
      </c>
      <c r="I12" s="5">
        <f>IF(C12=0,0,F12/C12)</f>
        <v/>
      </c>
      <c r="J12" s="6">
        <f>SUMIFS(Leads!$N$2:$N$501,Leads!$E$2:$E$501,A12,Leads!$I$2:$I$501,"Won")</f>
        <v/>
      </c>
    </row>
    <row r="13">
      <c r="A13" s="4">
        <f>Lists!$A$10</f>
        <v/>
      </c>
      <c r="B13" s="4">
        <f>COUNTIF(Leads!$E$2:$E$501,A13)</f>
        <v/>
      </c>
      <c r="C13" s="4">
        <f>COUNTIFS(Leads!$E$2:$E$501,A13,Leads!$J$2:$J$501,"&lt;&gt;")</f>
        <v/>
      </c>
      <c r="D13" s="4">
        <f>COUNTIFS(Leads!$E$2:$E$501,A13,Leads!$L$2:$L$501,"Yes")</f>
        <v/>
      </c>
      <c r="E13" s="4">
        <f>COUNTIFS(Leads!$E$2:$E$501,A13,Leads!$M$2:$M$501,"Yes")</f>
        <v/>
      </c>
      <c r="F13" s="4">
        <f>COUNTIFS(Leads!$E$2:$E$501,A13,Leads!$I$2:$I$501,"Won")</f>
        <v/>
      </c>
      <c r="G13" s="5">
        <f>IF(C13=0,0,D13/C13)</f>
        <v/>
      </c>
      <c r="H13" s="5">
        <f>IF(C13=0,0,E13/C13)</f>
        <v/>
      </c>
      <c r="I13" s="5">
        <f>IF(C13=0,0,F13/C13)</f>
        <v/>
      </c>
      <c r="J13" s="6">
        <f>SUMIFS(Leads!$N$2:$N$501,Leads!$E$2:$E$501,A13,Leads!$I$2:$I$501,"Won")</f>
        <v/>
      </c>
    </row>
    <row r="14">
      <c r="A14" s="4">
        <f>Lists!$A$11</f>
        <v/>
      </c>
      <c r="B14" s="4">
        <f>COUNTIF(Leads!$E$2:$E$501,A14)</f>
        <v/>
      </c>
      <c r="C14" s="4">
        <f>COUNTIFS(Leads!$E$2:$E$501,A14,Leads!$J$2:$J$501,"&lt;&gt;")</f>
        <v/>
      </c>
      <c r="D14" s="4">
        <f>COUNTIFS(Leads!$E$2:$E$501,A14,Leads!$L$2:$L$501,"Yes")</f>
        <v/>
      </c>
      <c r="E14" s="4">
        <f>COUNTIFS(Leads!$E$2:$E$501,A14,Leads!$M$2:$M$501,"Yes")</f>
        <v/>
      </c>
      <c r="F14" s="4">
        <f>COUNTIFS(Leads!$E$2:$E$501,A14,Leads!$I$2:$I$501,"Won")</f>
        <v/>
      </c>
      <c r="G14" s="5">
        <f>IF(C14=0,0,D14/C14)</f>
        <v/>
      </c>
      <c r="H14" s="5">
        <f>IF(C14=0,0,E14/C14)</f>
        <v/>
      </c>
      <c r="I14" s="5">
        <f>IF(C14=0,0,F14/C14)</f>
        <v/>
      </c>
      <c r="J14" s="6">
        <f>SUMIFS(Leads!$N$2:$N$501,Leads!$E$2:$E$501,A14,Leads!$I$2:$I$501,"Won")</f>
        <v/>
      </c>
    </row>
    <row r="15">
      <c r="A15" s="4">
        <f>Lists!$A$12</f>
        <v/>
      </c>
      <c r="B15" s="4">
        <f>COUNTIF(Leads!$E$2:$E$501,A15)</f>
        <v/>
      </c>
      <c r="C15" s="4">
        <f>COUNTIFS(Leads!$E$2:$E$501,A15,Leads!$J$2:$J$501,"&lt;&gt;")</f>
        <v/>
      </c>
      <c r="D15" s="4">
        <f>COUNTIFS(Leads!$E$2:$E$501,A15,Leads!$L$2:$L$501,"Yes")</f>
        <v/>
      </c>
      <c r="E15" s="4">
        <f>COUNTIFS(Leads!$E$2:$E$501,A15,Leads!$M$2:$M$501,"Yes")</f>
        <v/>
      </c>
      <c r="F15" s="4">
        <f>COUNTIFS(Leads!$E$2:$E$501,A15,Leads!$I$2:$I$501,"Won")</f>
        <v/>
      </c>
      <c r="G15" s="5">
        <f>IF(C15=0,0,D15/C15)</f>
        <v/>
      </c>
      <c r="H15" s="5">
        <f>IF(C15=0,0,E15/C15)</f>
        <v/>
      </c>
      <c r="I15" s="5">
        <f>IF(C15=0,0,F15/C15)</f>
        <v/>
      </c>
      <c r="J15" s="6">
        <f>SUMIFS(Leads!$N$2:$N$501,Leads!$E$2:$E$501,A15,Leads!$I$2:$I$501,"Won")</f>
        <v/>
      </c>
    </row>
    <row r="16">
      <c r="A16" s="7" t="inlineStr">
        <is>
          <t>TOTAL</t>
        </is>
      </c>
      <c r="B16" s="7">
        <f>SUM(B5:B15)</f>
        <v/>
      </c>
      <c r="C16" s="7">
        <f>SUM(C5:C15)</f>
        <v/>
      </c>
      <c r="D16" s="7">
        <f>SUM(D5:D15)</f>
        <v/>
      </c>
      <c r="E16" s="7">
        <f>SUM(E5:E15)</f>
        <v/>
      </c>
      <c r="F16" s="7">
        <f>SUM(F5:F15)</f>
        <v/>
      </c>
      <c r="G16" s="8">
        <f>IF(C16=0,0,D16/C16)</f>
        <v/>
      </c>
      <c r="H16" s="8">
        <f>IF(C16=0,0,E16/C16)</f>
        <v/>
      </c>
      <c r="I16" s="8">
        <f>IF(C16=0,0,F16/C16)</f>
        <v/>
      </c>
      <c r="J16" s="9">
        <f>SUM(J5:J15)</f>
        <v/>
      </c>
    </row>
    <row r="18">
      <c r="A18" s="10" t="inlineStr">
        <is>
          <t>Today</t>
        </is>
      </c>
    </row>
    <row r="19">
      <c r="A19" s="4" t="inlineStr">
        <is>
          <t>Follow-ups due today or overdue</t>
        </is>
      </c>
      <c r="C19" s="11">
        <f>COUNTIFS(Leads!$K$2:$K$501,"&lt;="&amp;TODAY(),Leads!$K$2:$K$501,"&lt;&gt;")</f>
        <v/>
      </c>
    </row>
    <row r="20">
      <c r="A20" s="4" t="inlineStr">
        <is>
          <t>Open leads (not Won/Lost/Not a fit)</t>
        </is>
      </c>
      <c r="C20" s="11">
        <f>COUNTIF(Leads!$B$2:$B$501,"&lt;&gt;")-COUNTIF(Leads!$I$2:$I$501,"Won")-COUNTIF(Leads!$I$2:$I$501,"Lost")-COUNTIF(Leads!$I$2:$I$501,"Not a fit")</f>
        <v/>
      </c>
    </row>
    <row r="21">
      <c r="A21" s="4" t="inlineStr">
        <is>
          <t>Referral commission owed (£)</t>
        </is>
      </c>
      <c r="C21" s="12">
        <f>SUM(Partners!$O$2:$O$501)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2" customWidth="1" min="4" max="4"/>
    <col width="13" customWidth="1" min="5" max="5"/>
    <col width="20" customWidth="1" min="6" max="6"/>
    <col width="34" customWidth="1" min="7" max="7"/>
    <col width="14" customWidth="1" min="8" max="8"/>
    <col width="14" customWidth="1" min="9" max="9"/>
    <col width="13" customWidth="1" min="10" max="10"/>
    <col width="13" customWidth="1" min="11" max="11"/>
    <col width="10" customWidth="1" min="12" max="12"/>
    <col width="10" customWidth="1" min="13" max="13"/>
    <col width="13" customWidth="1" min="14" max="14"/>
    <col width="13" customWidth="1" min="15" max="15"/>
    <col width="16" customWidth="1" min="16" max="16"/>
    <col width="15" customWidth="1" min="17" max="17"/>
    <col width="16" customWidth="1" min="18" max="18"/>
    <col width="40" customWidth="1" min="19" max="19"/>
  </cols>
  <sheetData>
    <row r="1" ht="32" customHeight="1">
      <c r="A1" s="3" t="inlineStr">
        <is>
          <t>Date found</t>
        </is>
      </c>
      <c r="B1" s="3" t="inlineStr">
        <is>
          <t>Name</t>
        </is>
      </c>
      <c r="C1" s="3" t="inlineStr">
        <is>
          <t>Business</t>
        </is>
      </c>
      <c r="D1" s="3" t="inlineStr">
        <is>
          <t>Country</t>
        </is>
      </c>
      <c r="E1" s="3" t="inlineStr">
        <is>
          <t>Platform</t>
        </is>
      </c>
      <c r="F1" s="3" t="inlineStr">
        <is>
          <t>Source</t>
        </is>
      </c>
      <c r="G1" s="3" t="inlineStr">
        <is>
          <t>Link to post / profile</t>
        </is>
      </c>
      <c r="H1" s="3" t="inlineStr">
        <is>
          <t>Need</t>
        </is>
      </c>
      <c r="I1" s="3" t="inlineStr">
        <is>
          <t>Status</t>
        </is>
      </c>
      <c r="J1" s="3" t="inlineStr">
        <is>
          <t>Contacted on</t>
        </is>
      </c>
      <c r="K1" s="3" t="inlineStr">
        <is>
          <t>Follow-up due</t>
        </is>
      </c>
      <c r="L1" s="3" t="inlineStr">
        <is>
          <t>Replied?</t>
        </is>
      </c>
      <c r="M1" s="3" t="inlineStr">
        <is>
          <t>Call held?</t>
        </is>
      </c>
      <c r="N1" s="3" t="inlineStr">
        <is>
          <t>Deal value (£)</t>
        </is>
      </c>
      <c r="O1" s="3" t="inlineStr">
        <is>
          <t>Monthly retainer (£)</t>
        </is>
      </c>
      <c r="P1" s="3" t="inlineStr">
        <is>
          <t>Referred by (partner code)</t>
        </is>
      </c>
      <c r="Q1" s="3" t="inlineStr">
        <is>
          <t>Referral commission (£)</t>
        </is>
      </c>
      <c r="R1" s="3" t="inlineStr">
        <is>
          <t>Retainer commission / mo (£)</t>
        </is>
      </c>
      <c r="S1" s="3" t="inlineStr">
        <is>
          <t>Notes</t>
        </is>
      </c>
    </row>
    <row r="2">
      <c r="A2" s="13" t="n">
        <v>46296</v>
      </c>
      <c r="B2" s="14" t="inlineStr">
        <is>
          <t>Jane Doe</t>
        </is>
      </c>
      <c r="C2" s="14" t="inlineStr">
        <is>
          <t>Doe Plumbing Ltd</t>
        </is>
      </c>
      <c r="D2" s="14" t="inlineStr">
        <is>
          <t>UK</t>
        </is>
      </c>
      <c r="E2" s="14" t="inlineStr">
        <is>
          <t>Facebook</t>
        </is>
      </c>
      <c r="F2" s="14" t="inlineStr">
        <is>
          <t>Hire request</t>
        </is>
      </c>
      <c r="G2" s="14" t="inlineStr">
        <is>
          <t>https://facebook.com/groups/…</t>
        </is>
      </c>
      <c r="H2" s="14" t="inlineStr">
        <is>
          <t>Both</t>
        </is>
      </c>
      <c r="I2" s="14" t="inlineStr">
        <is>
          <t>Won</t>
        </is>
      </c>
      <c r="J2" s="13" t="n">
        <v>46296</v>
      </c>
      <c r="K2" s="13">
        <f>IF(OR(J2="",I2="Won",I2="Lost",I2="Not a fit",L2="Yes"),"",J2+Settings!$B$8)</f>
        <v/>
      </c>
      <c r="L2" s="14" t="inlineStr">
        <is>
          <t>Yes</t>
        </is>
      </c>
      <c r="M2" s="14" t="inlineStr">
        <is>
          <t>Yes</t>
        </is>
      </c>
      <c r="N2" s="15" t="n">
        <v>2400</v>
      </c>
      <c r="O2" s="15" t="n">
        <v>150</v>
      </c>
      <c r="P2" s="14" t="inlineStr">
        <is>
          <t>JANE01</t>
        </is>
      </c>
      <c r="Q2" s="15">
        <f>IF(AND(I2="Won",P2&lt;&gt;"",N2&gt;=Settings!$B$7),MIN(N2*Settings!$B$2,Settings!$B$3),0)</f>
        <v/>
      </c>
      <c r="R2" s="15">
        <f>IF(AND(I2="Won",P2&lt;&gt;""),O2*Settings!$B$4,0)</f>
        <v/>
      </c>
      <c r="S2" s="14" t="inlineStr">
        <is>
          <t>EXAMPLE ROW – delete me. Replied in group, DM'd, call 3 Oct.</t>
        </is>
      </c>
    </row>
    <row r="3">
      <c r="A3" s="16" t="n"/>
      <c r="B3" s="17" t="n"/>
      <c r="C3" s="17" t="n"/>
      <c r="D3" s="17" t="n"/>
      <c r="E3" s="17" t="n"/>
      <c r="F3" s="17" t="n"/>
      <c r="G3" s="17" t="n"/>
      <c r="H3" s="17" t="n"/>
      <c r="I3" s="17" t="n"/>
      <c r="J3" s="16" t="n"/>
      <c r="K3" s="16">
        <f>IF(OR(J3="",I3="Won",I3="Lost",I3="Not a fit",L3="Yes"),"",J3+Settings!$B$8)</f>
        <v/>
      </c>
      <c r="L3" s="17" t="n"/>
      <c r="M3" s="17" t="n"/>
      <c r="N3" s="18" t="n"/>
      <c r="O3" s="18" t="n"/>
      <c r="P3" s="17" t="n"/>
      <c r="Q3" s="18">
        <f>IF(AND(I3="Won",P3&lt;&gt;"",N3&gt;=Settings!$B$7),MIN(N3*Settings!$B$2,Settings!$B$3),0)</f>
        <v/>
      </c>
      <c r="R3" s="18">
        <f>IF(AND(I3="Won",P3&lt;&gt;""),O3*Settings!$B$4,0)</f>
        <v/>
      </c>
      <c r="S3" s="17" t="n"/>
    </row>
    <row r="4">
      <c r="A4" s="16" t="n"/>
      <c r="B4" s="17" t="n"/>
      <c r="C4" s="17" t="n"/>
      <c r="D4" s="17" t="n"/>
      <c r="E4" s="17" t="n"/>
      <c r="F4" s="17" t="n"/>
      <c r="G4" s="17" t="n"/>
      <c r="H4" s="17" t="n"/>
      <c r="I4" s="17" t="n"/>
      <c r="J4" s="16" t="n"/>
      <c r="K4" s="16">
        <f>IF(OR(J4="",I4="Won",I4="Lost",I4="Not a fit",L4="Yes"),"",J4+Settings!$B$8)</f>
        <v/>
      </c>
      <c r="L4" s="17" t="n"/>
      <c r="M4" s="17" t="n"/>
      <c r="N4" s="18" t="n"/>
      <c r="O4" s="18" t="n"/>
      <c r="P4" s="17" t="n"/>
      <c r="Q4" s="18">
        <f>IF(AND(I4="Won",P4&lt;&gt;"",N4&gt;=Settings!$B$7),MIN(N4*Settings!$B$2,Settings!$B$3),0)</f>
        <v/>
      </c>
      <c r="R4" s="18">
        <f>IF(AND(I4="Won",P4&lt;&gt;""),O4*Settings!$B$4,0)</f>
        <v/>
      </c>
      <c r="S4" s="17" t="n"/>
    </row>
    <row r="5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6" t="n"/>
      <c r="K5" s="16">
        <f>IF(OR(J5="",I5="Won",I5="Lost",I5="Not a fit",L5="Yes"),"",J5+Settings!$B$8)</f>
        <v/>
      </c>
      <c r="L5" s="17" t="n"/>
      <c r="M5" s="17" t="n"/>
      <c r="N5" s="18" t="n"/>
      <c r="O5" s="18" t="n"/>
      <c r="P5" s="17" t="n"/>
      <c r="Q5" s="18">
        <f>IF(AND(I5="Won",P5&lt;&gt;"",N5&gt;=Settings!$B$7),MIN(N5*Settings!$B$2,Settings!$B$3),0)</f>
        <v/>
      </c>
      <c r="R5" s="18">
        <f>IF(AND(I5="Won",P5&lt;&gt;""),O5*Settings!$B$4,0)</f>
        <v/>
      </c>
      <c r="S5" s="17" t="n"/>
    </row>
    <row r="6">
      <c r="A6" s="16" t="n"/>
      <c r="B6" s="17" t="n"/>
      <c r="C6" s="17" t="n"/>
      <c r="D6" s="17" t="n"/>
      <c r="E6" s="17" t="n"/>
      <c r="F6" s="17" t="n"/>
      <c r="G6" s="17" t="n"/>
      <c r="H6" s="17" t="n"/>
      <c r="I6" s="17" t="n"/>
      <c r="J6" s="16" t="n"/>
      <c r="K6" s="16">
        <f>IF(OR(J6="",I6="Won",I6="Lost",I6="Not a fit",L6="Yes"),"",J6+Settings!$B$8)</f>
        <v/>
      </c>
      <c r="L6" s="17" t="n"/>
      <c r="M6" s="17" t="n"/>
      <c r="N6" s="18" t="n"/>
      <c r="O6" s="18" t="n"/>
      <c r="P6" s="17" t="n"/>
      <c r="Q6" s="18">
        <f>IF(AND(I6="Won",P6&lt;&gt;"",N6&gt;=Settings!$B$7),MIN(N6*Settings!$B$2,Settings!$B$3),0)</f>
        <v/>
      </c>
      <c r="R6" s="18">
        <f>IF(AND(I6="Won",P6&lt;&gt;""),O6*Settings!$B$4,0)</f>
        <v/>
      </c>
      <c r="S6" s="17" t="n"/>
    </row>
    <row r="7">
      <c r="A7" s="16" t="n"/>
      <c r="B7" s="17" t="n"/>
      <c r="C7" s="17" t="n"/>
      <c r="D7" s="17" t="n"/>
      <c r="E7" s="17" t="n"/>
      <c r="F7" s="17" t="n"/>
      <c r="G7" s="17" t="n"/>
      <c r="H7" s="17" t="n"/>
      <c r="I7" s="17" t="n"/>
      <c r="J7" s="16" t="n"/>
      <c r="K7" s="16">
        <f>IF(OR(J7="",I7="Won",I7="Lost",I7="Not a fit",L7="Yes"),"",J7+Settings!$B$8)</f>
        <v/>
      </c>
      <c r="L7" s="17" t="n"/>
      <c r="M7" s="17" t="n"/>
      <c r="N7" s="18" t="n"/>
      <c r="O7" s="18" t="n"/>
      <c r="P7" s="17" t="n"/>
      <c r="Q7" s="18">
        <f>IF(AND(I7="Won",P7&lt;&gt;"",N7&gt;=Settings!$B$7),MIN(N7*Settings!$B$2,Settings!$B$3),0)</f>
        <v/>
      </c>
      <c r="R7" s="18">
        <f>IF(AND(I7="Won",P7&lt;&gt;""),O7*Settings!$B$4,0)</f>
        <v/>
      </c>
      <c r="S7" s="17" t="n"/>
    </row>
    <row r="8">
      <c r="A8" s="16" t="n"/>
      <c r="B8" s="17" t="n"/>
      <c r="C8" s="17" t="n"/>
      <c r="D8" s="17" t="n"/>
      <c r="E8" s="17" t="n"/>
      <c r="F8" s="17" t="n"/>
      <c r="G8" s="17" t="n"/>
      <c r="H8" s="17" t="n"/>
      <c r="I8" s="17" t="n"/>
      <c r="J8" s="16" t="n"/>
      <c r="K8" s="16">
        <f>IF(OR(J8="",I8="Won",I8="Lost",I8="Not a fit",L8="Yes"),"",J8+Settings!$B$8)</f>
        <v/>
      </c>
      <c r="L8" s="17" t="n"/>
      <c r="M8" s="17" t="n"/>
      <c r="N8" s="18" t="n"/>
      <c r="O8" s="18" t="n"/>
      <c r="P8" s="17" t="n"/>
      <c r="Q8" s="18">
        <f>IF(AND(I8="Won",P8&lt;&gt;"",N8&gt;=Settings!$B$7),MIN(N8*Settings!$B$2,Settings!$B$3),0)</f>
        <v/>
      </c>
      <c r="R8" s="18">
        <f>IF(AND(I8="Won",P8&lt;&gt;""),O8*Settings!$B$4,0)</f>
        <v/>
      </c>
      <c r="S8" s="17" t="n"/>
    </row>
    <row r="9">
      <c r="A9" s="16" t="n"/>
      <c r="B9" s="17" t="n"/>
      <c r="C9" s="17" t="n"/>
      <c r="D9" s="17" t="n"/>
      <c r="E9" s="17" t="n"/>
      <c r="F9" s="17" t="n"/>
      <c r="G9" s="17" t="n"/>
      <c r="H9" s="17" t="n"/>
      <c r="I9" s="17" t="n"/>
      <c r="J9" s="16" t="n"/>
      <c r="K9" s="16">
        <f>IF(OR(J9="",I9="Won",I9="Lost",I9="Not a fit",L9="Yes"),"",J9+Settings!$B$8)</f>
        <v/>
      </c>
      <c r="L9" s="17" t="n"/>
      <c r="M9" s="17" t="n"/>
      <c r="N9" s="18" t="n"/>
      <c r="O9" s="18" t="n"/>
      <c r="P9" s="17" t="n"/>
      <c r="Q9" s="18">
        <f>IF(AND(I9="Won",P9&lt;&gt;"",N9&gt;=Settings!$B$7),MIN(N9*Settings!$B$2,Settings!$B$3),0)</f>
        <v/>
      </c>
      <c r="R9" s="18">
        <f>IF(AND(I9="Won",P9&lt;&gt;""),O9*Settings!$B$4,0)</f>
        <v/>
      </c>
      <c r="S9" s="17" t="n"/>
    </row>
    <row r="10">
      <c r="A10" s="16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6" t="n"/>
      <c r="K10" s="16">
        <f>IF(OR(J10="",I10="Won",I10="Lost",I10="Not a fit",L10="Yes"),"",J10+Settings!$B$8)</f>
        <v/>
      </c>
      <c r="L10" s="17" t="n"/>
      <c r="M10" s="17" t="n"/>
      <c r="N10" s="18" t="n"/>
      <c r="O10" s="18" t="n"/>
      <c r="P10" s="17" t="n"/>
      <c r="Q10" s="18">
        <f>IF(AND(I10="Won",P10&lt;&gt;"",N10&gt;=Settings!$B$7),MIN(N10*Settings!$B$2,Settings!$B$3),0)</f>
        <v/>
      </c>
      <c r="R10" s="18">
        <f>IF(AND(I10="Won",P10&lt;&gt;""),O10*Settings!$B$4,0)</f>
        <v/>
      </c>
      <c r="S10" s="17" t="n"/>
    </row>
    <row r="11">
      <c r="A11" s="16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6" t="n"/>
      <c r="K11" s="16">
        <f>IF(OR(J11="",I11="Won",I11="Lost",I11="Not a fit",L11="Yes"),"",J11+Settings!$B$8)</f>
        <v/>
      </c>
      <c r="L11" s="17" t="n"/>
      <c r="M11" s="17" t="n"/>
      <c r="N11" s="18" t="n"/>
      <c r="O11" s="18" t="n"/>
      <c r="P11" s="17" t="n"/>
      <c r="Q11" s="18">
        <f>IF(AND(I11="Won",P11&lt;&gt;"",N11&gt;=Settings!$B$7),MIN(N11*Settings!$B$2,Settings!$B$3),0)</f>
        <v/>
      </c>
      <c r="R11" s="18">
        <f>IF(AND(I11="Won",P11&lt;&gt;""),O11*Settings!$B$4,0)</f>
        <v/>
      </c>
      <c r="S11" s="17" t="n"/>
    </row>
    <row r="12">
      <c r="A12" s="16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6" t="n"/>
      <c r="K12" s="16">
        <f>IF(OR(J12="",I12="Won",I12="Lost",I12="Not a fit",L12="Yes"),"",J12+Settings!$B$8)</f>
        <v/>
      </c>
      <c r="L12" s="17" t="n"/>
      <c r="M12" s="17" t="n"/>
      <c r="N12" s="18" t="n"/>
      <c r="O12" s="18" t="n"/>
      <c r="P12" s="17" t="n"/>
      <c r="Q12" s="18">
        <f>IF(AND(I12="Won",P12&lt;&gt;"",N12&gt;=Settings!$B$7),MIN(N12*Settings!$B$2,Settings!$B$3),0)</f>
        <v/>
      </c>
      <c r="R12" s="18">
        <f>IF(AND(I12="Won",P12&lt;&gt;""),O12*Settings!$B$4,0)</f>
        <v/>
      </c>
      <c r="S12" s="17" t="n"/>
    </row>
    <row r="13">
      <c r="A13" s="16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6" t="n"/>
      <c r="K13" s="16">
        <f>IF(OR(J13="",I13="Won",I13="Lost",I13="Not a fit",L13="Yes"),"",J13+Settings!$B$8)</f>
        <v/>
      </c>
      <c r="L13" s="17" t="n"/>
      <c r="M13" s="17" t="n"/>
      <c r="N13" s="18" t="n"/>
      <c r="O13" s="18" t="n"/>
      <c r="P13" s="17" t="n"/>
      <c r="Q13" s="18">
        <f>IF(AND(I13="Won",P13&lt;&gt;"",N13&gt;=Settings!$B$7),MIN(N13*Settings!$B$2,Settings!$B$3),0)</f>
        <v/>
      </c>
      <c r="R13" s="18">
        <f>IF(AND(I13="Won",P13&lt;&gt;""),O13*Settings!$B$4,0)</f>
        <v/>
      </c>
      <c r="S13" s="17" t="n"/>
    </row>
    <row r="14">
      <c r="A14" s="16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6" t="n"/>
      <c r="K14" s="16">
        <f>IF(OR(J14="",I14="Won",I14="Lost",I14="Not a fit",L14="Yes"),"",J14+Settings!$B$8)</f>
        <v/>
      </c>
      <c r="L14" s="17" t="n"/>
      <c r="M14" s="17" t="n"/>
      <c r="N14" s="18" t="n"/>
      <c r="O14" s="18" t="n"/>
      <c r="P14" s="17" t="n"/>
      <c r="Q14" s="18">
        <f>IF(AND(I14="Won",P14&lt;&gt;"",N14&gt;=Settings!$B$7),MIN(N14*Settings!$B$2,Settings!$B$3),0)</f>
        <v/>
      </c>
      <c r="R14" s="18">
        <f>IF(AND(I14="Won",P14&lt;&gt;""),O14*Settings!$B$4,0)</f>
        <v/>
      </c>
      <c r="S14" s="17" t="n"/>
    </row>
    <row r="15">
      <c r="A15" s="16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6" t="n"/>
      <c r="K15" s="16">
        <f>IF(OR(J15="",I15="Won",I15="Lost",I15="Not a fit",L15="Yes"),"",J15+Settings!$B$8)</f>
        <v/>
      </c>
      <c r="L15" s="17" t="n"/>
      <c r="M15" s="17" t="n"/>
      <c r="N15" s="18" t="n"/>
      <c r="O15" s="18" t="n"/>
      <c r="P15" s="17" t="n"/>
      <c r="Q15" s="18">
        <f>IF(AND(I15="Won",P15&lt;&gt;"",N15&gt;=Settings!$B$7),MIN(N15*Settings!$B$2,Settings!$B$3),0)</f>
        <v/>
      </c>
      <c r="R15" s="18">
        <f>IF(AND(I15="Won",P15&lt;&gt;""),O15*Settings!$B$4,0)</f>
        <v/>
      </c>
      <c r="S15" s="17" t="n"/>
    </row>
    <row r="16">
      <c r="A16" s="16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6" t="n"/>
      <c r="K16" s="16">
        <f>IF(OR(J16="",I16="Won",I16="Lost",I16="Not a fit",L16="Yes"),"",J16+Settings!$B$8)</f>
        <v/>
      </c>
      <c r="L16" s="17" t="n"/>
      <c r="M16" s="17" t="n"/>
      <c r="N16" s="18" t="n"/>
      <c r="O16" s="18" t="n"/>
      <c r="P16" s="17" t="n"/>
      <c r="Q16" s="18">
        <f>IF(AND(I16="Won",P16&lt;&gt;"",N16&gt;=Settings!$B$7),MIN(N16*Settings!$B$2,Settings!$B$3),0)</f>
        <v/>
      </c>
      <c r="R16" s="18">
        <f>IF(AND(I16="Won",P16&lt;&gt;""),O16*Settings!$B$4,0)</f>
        <v/>
      </c>
      <c r="S16" s="17" t="n"/>
    </row>
    <row r="17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6" t="n"/>
      <c r="K17" s="16">
        <f>IF(OR(J17="",I17="Won",I17="Lost",I17="Not a fit",L17="Yes"),"",J17+Settings!$B$8)</f>
        <v/>
      </c>
      <c r="L17" s="17" t="n"/>
      <c r="M17" s="17" t="n"/>
      <c r="N17" s="18" t="n"/>
      <c r="O17" s="18" t="n"/>
      <c r="P17" s="17" t="n"/>
      <c r="Q17" s="18">
        <f>IF(AND(I17="Won",P17&lt;&gt;"",N17&gt;=Settings!$B$7),MIN(N17*Settings!$B$2,Settings!$B$3),0)</f>
        <v/>
      </c>
      <c r="R17" s="18">
        <f>IF(AND(I17="Won",P17&lt;&gt;""),O17*Settings!$B$4,0)</f>
        <v/>
      </c>
      <c r="S17" s="17" t="n"/>
    </row>
    <row r="18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6" t="n"/>
      <c r="K18" s="16">
        <f>IF(OR(J18="",I18="Won",I18="Lost",I18="Not a fit",L18="Yes"),"",J18+Settings!$B$8)</f>
        <v/>
      </c>
      <c r="L18" s="17" t="n"/>
      <c r="M18" s="17" t="n"/>
      <c r="N18" s="18" t="n"/>
      <c r="O18" s="18" t="n"/>
      <c r="P18" s="17" t="n"/>
      <c r="Q18" s="18">
        <f>IF(AND(I18="Won",P18&lt;&gt;"",N18&gt;=Settings!$B$7),MIN(N18*Settings!$B$2,Settings!$B$3),0)</f>
        <v/>
      </c>
      <c r="R18" s="18">
        <f>IF(AND(I18="Won",P18&lt;&gt;""),O18*Settings!$B$4,0)</f>
        <v/>
      </c>
      <c r="S18" s="17" t="n"/>
    </row>
    <row r="19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6" t="n"/>
      <c r="K19" s="16">
        <f>IF(OR(J19="",I19="Won",I19="Lost",I19="Not a fit",L19="Yes"),"",J19+Settings!$B$8)</f>
        <v/>
      </c>
      <c r="L19" s="17" t="n"/>
      <c r="M19" s="17" t="n"/>
      <c r="N19" s="18" t="n"/>
      <c r="O19" s="18" t="n"/>
      <c r="P19" s="17" t="n"/>
      <c r="Q19" s="18">
        <f>IF(AND(I19="Won",P19&lt;&gt;"",N19&gt;=Settings!$B$7),MIN(N19*Settings!$B$2,Settings!$B$3),0)</f>
        <v/>
      </c>
      <c r="R19" s="18">
        <f>IF(AND(I19="Won",P19&lt;&gt;""),O19*Settings!$B$4,0)</f>
        <v/>
      </c>
      <c r="S19" s="17" t="n"/>
    </row>
    <row r="20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6" t="n"/>
      <c r="K20" s="16">
        <f>IF(OR(J20="",I20="Won",I20="Lost",I20="Not a fit",L20="Yes"),"",J20+Settings!$B$8)</f>
        <v/>
      </c>
      <c r="L20" s="17" t="n"/>
      <c r="M20" s="17" t="n"/>
      <c r="N20" s="18" t="n"/>
      <c r="O20" s="18" t="n"/>
      <c r="P20" s="17" t="n"/>
      <c r="Q20" s="18">
        <f>IF(AND(I20="Won",P20&lt;&gt;"",N20&gt;=Settings!$B$7),MIN(N20*Settings!$B$2,Settings!$B$3),0)</f>
        <v/>
      </c>
      <c r="R20" s="18">
        <f>IF(AND(I20="Won",P20&lt;&gt;""),O20*Settings!$B$4,0)</f>
        <v/>
      </c>
      <c r="S20" s="17" t="n"/>
    </row>
    <row r="2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6" t="n"/>
      <c r="K21" s="16">
        <f>IF(OR(J21="",I21="Won",I21="Lost",I21="Not a fit",L21="Yes"),"",J21+Settings!$B$8)</f>
        <v/>
      </c>
      <c r="L21" s="17" t="n"/>
      <c r="M21" s="17" t="n"/>
      <c r="N21" s="18" t="n"/>
      <c r="O21" s="18" t="n"/>
      <c r="P21" s="17" t="n"/>
      <c r="Q21" s="18">
        <f>IF(AND(I21="Won",P21&lt;&gt;"",N21&gt;=Settings!$B$7),MIN(N21*Settings!$B$2,Settings!$B$3),0)</f>
        <v/>
      </c>
      <c r="R21" s="18">
        <f>IF(AND(I21="Won",P21&lt;&gt;""),O21*Settings!$B$4,0)</f>
        <v/>
      </c>
      <c r="S21" s="17" t="n"/>
    </row>
    <row r="22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6" t="n"/>
      <c r="K22" s="16">
        <f>IF(OR(J22="",I22="Won",I22="Lost",I22="Not a fit",L22="Yes"),"",J22+Settings!$B$8)</f>
        <v/>
      </c>
      <c r="L22" s="17" t="n"/>
      <c r="M22" s="17" t="n"/>
      <c r="N22" s="18" t="n"/>
      <c r="O22" s="18" t="n"/>
      <c r="P22" s="17" t="n"/>
      <c r="Q22" s="18">
        <f>IF(AND(I22="Won",P22&lt;&gt;"",N22&gt;=Settings!$B$7),MIN(N22*Settings!$B$2,Settings!$B$3),0)</f>
        <v/>
      </c>
      <c r="R22" s="18">
        <f>IF(AND(I22="Won",P22&lt;&gt;""),O22*Settings!$B$4,0)</f>
        <v/>
      </c>
      <c r="S22" s="17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6" t="n"/>
      <c r="K23" s="16">
        <f>IF(OR(J23="",I23="Won",I23="Lost",I23="Not a fit",L23="Yes"),"",J23+Settings!$B$8)</f>
        <v/>
      </c>
      <c r="L23" s="17" t="n"/>
      <c r="M23" s="17" t="n"/>
      <c r="N23" s="18" t="n"/>
      <c r="O23" s="18" t="n"/>
      <c r="P23" s="17" t="n"/>
      <c r="Q23" s="18">
        <f>IF(AND(I23="Won",P23&lt;&gt;"",N23&gt;=Settings!$B$7),MIN(N23*Settings!$B$2,Settings!$B$3),0)</f>
        <v/>
      </c>
      <c r="R23" s="18">
        <f>IF(AND(I23="Won",P23&lt;&gt;""),O23*Settings!$B$4,0)</f>
        <v/>
      </c>
      <c r="S23" s="17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6" t="n"/>
      <c r="K24" s="16">
        <f>IF(OR(J24="",I24="Won",I24="Lost",I24="Not a fit",L24="Yes"),"",J24+Settings!$B$8)</f>
        <v/>
      </c>
      <c r="L24" s="17" t="n"/>
      <c r="M24" s="17" t="n"/>
      <c r="N24" s="18" t="n"/>
      <c r="O24" s="18" t="n"/>
      <c r="P24" s="17" t="n"/>
      <c r="Q24" s="18">
        <f>IF(AND(I24="Won",P24&lt;&gt;"",N24&gt;=Settings!$B$7),MIN(N24*Settings!$B$2,Settings!$B$3),0)</f>
        <v/>
      </c>
      <c r="R24" s="18">
        <f>IF(AND(I24="Won",P24&lt;&gt;""),O24*Settings!$B$4,0)</f>
        <v/>
      </c>
      <c r="S24" s="17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6" t="n"/>
      <c r="K25" s="16">
        <f>IF(OR(J25="",I25="Won",I25="Lost",I25="Not a fit",L25="Yes"),"",J25+Settings!$B$8)</f>
        <v/>
      </c>
      <c r="L25" s="17" t="n"/>
      <c r="M25" s="17" t="n"/>
      <c r="N25" s="18" t="n"/>
      <c r="O25" s="18" t="n"/>
      <c r="P25" s="17" t="n"/>
      <c r="Q25" s="18">
        <f>IF(AND(I25="Won",P25&lt;&gt;"",N25&gt;=Settings!$B$7),MIN(N25*Settings!$B$2,Settings!$B$3),0)</f>
        <v/>
      </c>
      <c r="R25" s="18">
        <f>IF(AND(I25="Won",P25&lt;&gt;""),O25*Settings!$B$4,0)</f>
        <v/>
      </c>
      <c r="S25" s="17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6" t="n"/>
      <c r="K26" s="16">
        <f>IF(OR(J26="",I26="Won",I26="Lost",I26="Not a fit",L26="Yes"),"",J26+Settings!$B$8)</f>
        <v/>
      </c>
      <c r="L26" s="17" t="n"/>
      <c r="M26" s="17" t="n"/>
      <c r="N26" s="18" t="n"/>
      <c r="O26" s="18" t="n"/>
      <c r="P26" s="17" t="n"/>
      <c r="Q26" s="18">
        <f>IF(AND(I26="Won",P26&lt;&gt;"",N26&gt;=Settings!$B$7),MIN(N26*Settings!$B$2,Settings!$B$3),0)</f>
        <v/>
      </c>
      <c r="R26" s="18">
        <f>IF(AND(I26="Won",P26&lt;&gt;""),O26*Settings!$B$4,0)</f>
        <v/>
      </c>
      <c r="S26" s="17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6" t="n"/>
      <c r="K27" s="16">
        <f>IF(OR(J27="",I27="Won",I27="Lost",I27="Not a fit",L27="Yes"),"",J27+Settings!$B$8)</f>
        <v/>
      </c>
      <c r="L27" s="17" t="n"/>
      <c r="M27" s="17" t="n"/>
      <c r="N27" s="18" t="n"/>
      <c r="O27" s="18" t="n"/>
      <c r="P27" s="17" t="n"/>
      <c r="Q27" s="18">
        <f>IF(AND(I27="Won",P27&lt;&gt;"",N27&gt;=Settings!$B$7),MIN(N27*Settings!$B$2,Settings!$B$3),0)</f>
        <v/>
      </c>
      <c r="R27" s="18">
        <f>IF(AND(I27="Won",P27&lt;&gt;""),O27*Settings!$B$4,0)</f>
        <v/>
      </c>
      <c r="S27" s="17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6" t="n"/>
      <c r="K28" s="16">
        <f>IF(OR(J28="",I28="Won",I28="Lost",I28="Not a fit",L28="Yes"),"",J28+Settings!$B$8)</f>
        <v/>
      </c>
      <c r="L28" s="17" t="n"/>
      <c r="M28" s="17" t="n"/>
      <c r="N28" s="18" t="n"/>
      <c r="O28" s="18" t="n"/>
      <c r="P28" s="17" t="n"/>
      <c r="Q28" s="18">
        <f>IF(AND(I28="Won",P28&lt;&gt;"",N28&gt;=Settings!$B$7),MIN(N28*Settings!$B$2,Settings!$B$3),0)</f>
        <v/>
      </c>
      <c r="R28" s="18">
        <f>IF(AND(I28="Won",P28&lt;&gt;""),O28*Settings!$B$4,0)</f>
        <v/>
      </c>
      <c r="S28" s="17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6" t="n"/>
      <c r="K29" s="16">
        <f>IF(OR(J29="",I29="Won",I29="Lost",I29="Not a fit",L29="Yes"),"",J29+Settings!$B$8)</f>
        <v/>
      </c>
      <c r="L29" s="17" t="n"/>
      <c r="M29" s="17" t="n"/>
      <c r="N29" s="18" t="n"/>
      <c r="O29" s="18" t="n"/>
      <c r="P29" s="17" t="n"/>
      <c r="Q29" s="18">
        <f>IF(AND(I29="Won",P29&lt;&gt;"",N29&gt;=Settings!$B$7),MIN(N29*Settings!$B$2,Settings!$B$3),0)</f>
        <v/>
      </c>
      <c r="R29" s="18">
        <f>IF(AND(I29="Won",P29&lt;&gt;""),O29*Settings!$B$4,0)</f>
        <v/>
      </c>
      <c r="S29" s="17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6" t="n"/>
      <c r="K30" s="16">
        <f>IF(OR(J30="",I30="Won",I30="Lost",I30="Not a fit",L30="Yes"),"",J30+Settings!$B$8)</f>
        <v/>
      </c>
      <c r="L30" s="17" t="n"/>
      <c r="M30" s="17" t="n"/>
      <c r="N30" s="18" t="n"/>
      <c r="O30" s="18" t="n"/>
      <c r="P30" s="17" t="n"/>
      <c r="Q30" s="18">
        <f>IF(AND(I30="Won",P30&lt;&gt;"",N30&gt;=Settings!$B$7),MIN(N30*Settings!$B$2,Settings!$B$3),0)</f>
        <v/>
      </c>
      <c r="R30" s="18">
        <f>IF(AND(I30="Won",P30&lt;&gt;""),O30*Settings!$B$4,0)</f>
        <v/>
      </c>
      <c r="S30" s="17" t="n"/>
    </row>
    <row r="31">
      <c r="A31" s="16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6" t="n"/>
      <c r="K31" s="16">
        <f>IF(OR(J31="",I31="Won",I31="Lost",I31="Not a fit",L31="Yes"),"",J31+Settings!$B$8)</f>
        <v/>
      </c>
      <c r="L31" s="17" t="n"/>
      <c r="M31" s="17" t="n"/>
      <c r="N31" s="18" t="n"/>
      <c r="O31" s="18" t="n"/>
      <c r="P31" s="17" t="n"/>
      <c r="Q31" s="18">
        <f>IF(AND(I31="Won",P31&lt;&gt;"",N31&gt;=Settings!$B$7),MIN(N31*Settings!$B$2,Settings!$B$3),0)</f>
        <v/>
      </c>
      <c r="R31" s="18">
        <f>IF(AND(I31="Won",P31&lt;&gt;""),O31*Settings!$B$4,0)</f>
        <v/>
      </c>
      <c r="S31" s="17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6" t="n"/>
      <c r="K32" s="16">
        <f>IF(OR(J32="",I32="Won",I32="Lost",I32="Not a fit",L32="Yes"),"",J32+Settings!$B$8)</f>
        <v/>
      </c>
      <c r="L32" s="17" t="n"/>
      <c r="M32" s="17" t="n"/>
      <c r="N32" s="18" t="n"/>
      <c r="O32" s="18" t="n"/>
      <c r="P32" s="17" t="n"/>
      <c r="Q32" s="18">
        <f>IF(AND(I32="Won",P32&lt;&gt;"",N32&gt;=Settings!$B$7),MIN(N32*Settings!$B$2,Settings!$B$3),0)</f>
        <v/>
      </c>
      <c r="R32" s="18">
        <f>IF(AND(I32="Won",P32&lt;&gt;""),O32*Settings!$B$4,0)</f>
        <v/>
      </c>
      <c r="S32" s="17" t="n"/>
    </row>
    <row r="33">
      <c r="A33" s="16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6" t="n"/>
      <c r="K33" s="16">
        <f>IF(OR(J33="",I33="Won",I33="Lost",I33="Not a fit",L33="Yes"),"",J33+Settings!$B$8)</f>
        <v/>
      </c>
      <c r="L33" s="17" t="n"/>
      <c r="M33" s="17" t="n"/>
      <c r="N33" s="18" t="n"/>
      <c r="O33" s="18" t="n"/>
      <c r="P33" s="17" t="n"/>
      <c r="Q33" s="18">
        <f>IF(AND(I33="Won",P33&lt;&gt;"",N33&gt;=Settings!$B$7),MIN(N33*Settings!$B$2,Settings!$B$3),0)</f>
        <v/>
      </c>
      <c r="R33" s="18">
        <f>IF(AND(I33="Won",P33&lt;&gt;""),O33*Settings!$B$4,0)</f>
        <v/>
      </c>
      <c r="S33" s="17" t="n"/>
    </row>
    <row r="34">
      <c r="A34" s="16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6" t="n"/>
      <c r="K34" s="16">
        <f>IF(OR(J34="",I34="Won",I34="Lost",I34="Not a fit",L34="Yes"),"",J34+Settings!$B$8)</f>
        <v/>
      </c>
      <c r="L34" s="17" t="n"/>
      <c r="M34" s="17" t="n"/>
      <c r="N34" s="18" t="n"/>
      <c r="O34" s="18" t="n"/>
      <c r="P34" s="17" t="n"/>
      <c r="Q34" s="18">
        <f>IF(AND(I34="Won",P34&lt;&gt;"",N34&gt;=Settings!$B$7),MIN(N34*Settings!$B$2,Settings!$B$3),0)</f>
        <v/>
      </c>
      <c r="R34" s="18">
        <f>IF(AND(I34="Won",P34&lt;&gt;""),O34*Settings!$B$4,0)</f>
        <v/>
      </c>
      <c r="S34" s="17" t="n"/>
    </row>
    <row r="35">
      <c r="A35" s="16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6" t="n"/>
      <c r="K35" s="16">
        <f>IF(OR(J35="",I35="Won",I35="Lost",I35="Not a fit",L35="Yes"),"",J35+Settings!$B$8)</f>
        <v/>
      </c>
      <c r="L35" s="17" t="n"/>
      <c r="M35" s="17" t="n"/>
      <c r="N35" s="18" t="n"/>
      <c r="O35" s="18" t="n"/>
      <c r="P35" s="17" t="n"/>
      <c r="Q35" s="18">
        <f>IF(AND(I35="Won",P35&lt;&gt;"",N35&gt;=Settings!$B$7),MIN(N35*Settings!$B$2,Settings!$B$3),0)</f>
        <v/>
      </c>
      <c r="R35" s="18">
        <f>IF(AND(I35="Won",P35&lt;&gt;""),O35*Settings!$B$4,0)</f>
        <v/>
      </c>
      <c r="S35" s="17" t="n"/>
    </row>
    <row r="36">
      <c r="A36" s="16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6" t="n"/>
      <c r="K36" s="16">
        <f>IF(OR(J36="",I36="Won",I36="Lost",I36="Not a fit",L36="Yes"),"",J36+Settings!$B$8)</f>
        <v/>
      </c>
      <c r="L36" s="17" t="n"/>
      <c r="M36" s="17" t="n"/>
      <c r="N36" s="18" t="n"/>
      <c r="O36" s="18" t="n"/>
      <c r="P36" s="17" t="n"/>
      <c r="Q36" s="18">
        <f>IF(AND(I36="Won",P36&lt;&gt;"",N36&gt;=Settings!$B$7),MIN(N36*Settings!$B$2,Settings!$B$3),0)</f>
        <v/>
      </c>
      <c r="R36" s="18">
        <f>IF(AND(I36="Won",P36&lt;&gt;""),O36*Settings!$B$4,0)</f>
        <v/>
      </c>
      <c r="S36" s="17" t="n"/>
    </row>
    <row r="37">
      <c r="A37" s="16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6" t="n"/>
      <c r="K37" s="16">
        <f>IF(OR(J37="",I37="Won",I37="Lost",I37="Not a fit",L37="Yes"),"",J37+Settings!$B$8)</f>
        <v/>
      </c>
      <c r="L37" s="17" t="n"/>
      <c r="M37" s="17" t="n"/>
      <c r="N37" s="18" t="n"/>
      <c r="O37" s="18" t="n"/>
      <c r="P37" s="17" t="n"/>
      <c r="Q37" s="18">
        <f>IF(AND(I37="Won",P37&lt;&gt;"",N37&gt;=Settings!$B$7),MIN(N37*Settings!$B$2,Settings!$B$3),0)</f>
        <v/>
      </c>
      <c r="R37" s="18">
        <f>IF(AND(I37="Won",P37&lt;&gt;""),O37*Settings!$B$4,0)</f>
        <v/>
      </c>
      <c r="S37" s="17" t="n"/>
    </row>
    <row r="38">
      <c r="A38" s="16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6" t="n"/>
      <c r="K38" s="16">
        <f>IF(OR(J38="",I38="Won",I38="Lost",I38="Not a fit",L38="Yes"),"",J38+Settings!$B$8)</f>
        <v/>
      </c>
      <c r="L38" s="17" t="n"/>
      <c r="M38" s="17" t="n"/>
      <c r="N38" s="18" t="n"/>
      <c r="O38" s="18" t="n"/>
      <c r="P38" s="17" t="n"/>
      <c r="Q38" s="18">
        <f>IF(AND(I38="Won",P38&lt;&gt;"",N38&gt;=Settings!$B$7),MIN(N38*Settings!$B$2,Settings!$B$3),0)</f>
        <v/>
      </c>
      <c r="R38" s="18">
        <f>IF(AND(I38="Won",P38&lt;&gt;""),O38*Settings!$B$4,0)</f>
        <v/>
      </c>
      <c r="S38" s="17" t="n"/>
    </row>
    <row r="39">
      <c r="A39" s="16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6" t="n"/>
      <c r="K39" s="16">
        <f>IF(OR(J39="",I39="Won",I39="Lost",I39="Not a fit",L39="Yes"),"",J39+Settings!$B$8)</f>
        <v/>
      </c>
      <c r="L39" s="17" t="n"/>
      <c r="M39" s="17" t="n"/>
      <c r="N39" s="18" t="n"/>
      <c r="O39" s="18" t="n"/>
      <c r="P39" s="17" t="n"/>
      <c r="Q39" s="18">
        <f>IF(AND(I39="Won",P39&lt;&gt;"",N39&gt;=Settings!$B$7),MIN(N39*Settings!$B$2,Settings!$B$3),0)</f>
        <v/>
      </c>
      <c r="R39" s="18">
        <f>IF(AND(I39="Won",P39&lt;&gt;""),O39*Settings!$B$4,0)</f>
        <v/>
      </c>
      <c r="S39" s="17" t="n"/>
    </row>
    <row r="40">
      <c r="A40" s="16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6" t="n"/>
      <c r="K40" s="16">
        <f>IF(OR(J40="",I40="Won",I40="Lost",I40="Not a fit",L40="Yes"),"",J40+Settings!$B$8)</f>
        <v/>
      </c>
      <c r="L40" s="17" t="n"/>
      <c r="M40" s="17" t="n"/>
      <c r="N40" s="18" t="n"/>
      <c r="O40" s="18" t="n"/>
      <c r="P40" s="17" t="n"/>
      <c r="Q40" s="18">
        <f>IF(AND(I40="Won",P40&lt;&gt;"",N40&gt;=Settings!$B$7),MIN(N40*Settings!$B$2,Settings!$B$3),0)</f>
        <v/>
      </c>
      <c r="R40" s="18">
        <f>IF(AND(I40="Won",P40&lt;&gt;""),O40*Settings!$B$4,0)</f>
        <v/>
      </c>
      <c r="S40" s="17" t="n"/>
    </row>
    <row r="41">
      <c r="A41" s="16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6" t="n"/>
      <c r="K41" s="16">
        <f>IF(OR(J41="",I41="Won",I41="Lost",I41="Not a fit",L41="Yes"),"",J41+Settings!$B$8)</f>
        <v/>
      </c>
      <c r="L41" s="17" t="n"/>
      <c r="M41" s="17" t="n"/>
      <c r="N41" s="18" t="n"/>
      <c r="O41" s="18" t="n"/>
      <c r="P41" s="17" t="n"/>
      <c r="Q41" s="18">
        <f>IF(AND(I41="Won",P41&lt;&gt;"",N41&gt;=Settings!$B$7),MIN(N41*Settings!$B$2,Settings!$B$3),0)</f>
        <v/>
      </c>
      <c r="R41" s="18">
        <f>IF(AND(I41="Won",P41&lt;&gt;""),O41*Settings!$B$4,0)</f>
        <v/>
      </c>
      <c r="S41" s="17" t="n"/>
    </row>
    <row r="42">
      <c r="A42" s="16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6" t="n"/>
      <c r="K42" s="16">
        <f>IF(OR(J42="",I42="Won",I42="Lost",I42="Not a fit",L42="Yes"),"",J42+Settings!$B$8)</f>
        <v/>
      </c>
      <c r="L42" s="17" t="n"/>
      <c r="M42" s="17" t="n"/>
      <c r="N42" s="18" t="n"/>
      <c r="O42" s="18" t="n"/>
      <c r="P42" s="17" t="n"/>
      <c r="Q42" s="18">
        <f>IF(AND(I42="Won",P42&lt;&gt;"",N42&gt;=Settings!$B$7),MIN(N42*Settings!$B$2,Settings!$B$3),0)</f>
        <v/>
      </c>
      <c r="R42" s="18">
        <f>IF(AND(I42="Won",P42&lt;&gt;""),O42*Settings!$B$4,0)</f>
        <v/>
      </c>
      <c r="S42" s="17" t="n"/>
    </row>
    <row r="43">
      <c r="A43" s="16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6" t="n"/>
      <c r="K43" s="16">
        <f>IF(OR(J43="",I43="Won",I43="Lost",I43="Not a fit",L43="Yes"),"",J43+Settings!$B$8)</f>
        <v/>
      </c>
      <c r="L43" s="17" t="n"/>
      <c r="M43" s="17" t="n"/>
      <c r="N43" s="18" t="n"/>
      <c r="O43" s="18" t="n"/>
      <c r="P43" s="17" t="n"/>
      <c r="Q43" s="18">
        <f>IF(AND(I43="Won",P43&lt;&gt;"",N43&gt;=Settings!$B$7),MIN(N43*Settings!$B$2,Settings!$B$3),0)</f>
        <v/>
      </c>
      <c r="R43" s="18">
        <f>IF(AND(I43="Won",P43&lt;&gt;""),O43*Settings!$B$4,0)</f>
        <v/>
      </c>
      <c r="S43" s="17" t="n"/>
    </row>
    <row r="44">
      <c r="A44" s="16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6" t="n"/>
      <c r="K44" s="16">
        <f>IF(OR(J44="",I44="Won",I44="Lost",I44="Not a fit",L44="Yes"),"",J44+Settings!$B$8)</f>
        <v/>
      </c>
      <c r="L44" s="17" t="n"/>
      <c r="M44" s="17" t="n"/>
      <c r="N44" s="18" t="n"/>
      <c r="O44" s="18" t="n"/>
      <c r="P44" s="17" t="n"/>
      <c r="Q44" s="18">
        <f>IF(AND(I44="Won",P44&lt;&gt;"",N44&gt;=Settings!$B$7),MIN(N44*Settings!$B$2,Settings!$B$3),0)</f>
        <v/>
      </c>
      <c r="R44" s="18">
        <f>IF(AND(I44="Won",P44&lt;&gt;""),O44*Settings!$B$4,0)</f>
        <v/>
      </c>
      <c r="S44" s="17" t="n"/>
    </row>
    <row r="45">
      <c r="A45" s="16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6" t="n"/>
      <c r="K45" s="16">
        <f>IF(OR(J45="",I45="Won",I45="Lost",I45="Not a fit",L45="Yes"),"",J45+Settings!$B$8)</f>
        <v/>
      </c>
      <c r="L45" s="17" t="n"/>
      <c r="M45" s="17" t="n"/>
      <c r="N45" s="18" t="n"/>
      <c r="O45" s="18" t="n"/>
      <c r="P45" s="17" t="n"/>
      <c r="Q45" s="18">
        <f>IF(AND(I45="Won",P45&lt;&gt;"",N45&gt;=Settings!$B$7),MIN(N45*Settings!$B$2,Settings!$B$3),0)</f>
        <v/>
      </c>
      <c r="R45" s="18">
        <f>IF(AND(I45="Won",P45&lt;&gt;""),O45*Settings!$B$4,0)</f>
        <v/>
      </c>
      <c r="S45" s="17" t="n"/>
    </row>
    <row r="46">
      <c r="A46" s="16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6" t="n"/>
      <c r="K46" s="16">
        <f>IF(OR(J46="",I46="Won",I46="Lost",I46="Not a fit",L46="Yes"),"",J46+Settings!$B$8)</f>
        <v/>
      </c>
      <c r="L46" s="17" t="n"/>
      <c r="M46" s="17" t="n"/>
      <c r="N46" s="18" t="n"/>
      <c r="O46" s="18" t="n"/>
      <c r="P46" s="17" t="n"/>
      <c r="Q46" s="18">
        <f>IF(AND(I46="Won",P46&lt;&gt;"",N46&gt;=Settings!$B$7),MIN(N46*Settings!$B$2,Settings!$B$3),0)</f>
        <v/>
      </c>
      <c r="R46" s="18">
        <f>IF(AND(I46="Won",P46&lt;&gt;""),O46*Settings!$B$4,0)</f>
        <v/>
      </c>
      <c r="S46" s="17" t="n"/>
    </row>
    <row r="47">
      <c r="A47" s="16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6" t="n"/>
      <c r="K47" s="16">
        <f>IF(OR(J47="",I47="Won",I47="Lost",I47="Not a fit",L47="Yes"),"",J47+Settings!$B$8)</f>
        <v/>
      </c>
      <c r="L47" s="17" t="n"/>
      <c r="M47" s="17" t="n"/>
      <c r="N47" s="18" t="n"/>
      <c r="O47" s="18" t="n"/>
      <c r="P47" s="17" t="n"/>
      <c r="Q47" s="18">
        <f>IF(AND(I47="Won",P47&lt;&gt;"",N47&gt;=Settings!$B$7),MIN(N47*Settings!$B$2,Settings!$B$3),0)</f>
        <v/>
      </c>
      <c r="R47" s="18">
        <f>IF(AND(I47="Won",P47&lt;&gt;""),O47*Settings!$B$4,0)</f>
        <v/>
      </c>
      <c r="S47" s="17" t="n"/>
    </row>
    <row r="48">
      <c r="A48" s="16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6" t="n"/>
      <c r="K48" s="16">
        <f>IF(OR(J48="",I48="Won",I48="Lost",I48="Not a fit",L48="Yes"),"",J48+Settings!$B$8)</f>
        <v/>
      </c>
      <c r="L48" s="17" t="n"/>
      <c r="M48" s="17" t="n"/>
      <c r="N48" s="18" t="n"/>
      <c r="O48" s="18" t="n"/>
      <c r="P48" s="17" t="n"/>
      <c r="Q48" s="18">
        <f>IF(AND(I48="Won",P48&lt;&gt;"",N48&gt;=Settings!$B$7),MIN(N48*Settings!$B$2,Settings!$B$3),0)</f>
        <v/>
      </c>
      <c r="R48" s="18">
        <f>IF(AND(I48="Won",P48&lt;&gt;""),O48*Settings!$B$4,0)</f>
        <v/>
      </c>
      <c r="S48" s="17" t="n"/>
    </row>
    <row r="49">
      <c r="A49" s="16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6" t="n"/>
      <c r="K49" s="16">
        <f>IF(OR(J49="",I49="Won",I49="Lost",I49="Not a fit",L49="Yes"),"",J49+Settings!$B$8)</f>
        <v/>
      </c>
      <c r="L49" s="17" t="n"/>
      <c r="M49" s="17" t="n"/>
      <c r="N49" s="18" t="n"/>
      <c r="O49" s="18" t="n"/>
      <c r="P49" s="17" t="n"/>
      <c r="Q49" s="18">
        <f>IF(AND(I49="Won",P49&lt;&gt;"",N49&gt;=Settings!$B$7),MIN(N49*Settings!$B$2,Settings!$B$3),0)</f>
        <v/>
      </c>
      <c r="R49" s="18">
        <f>IF(AND(I49="Won",P49&lt;&gt;""),O49*Settings!$B$4,0)</f>
        <v/>
      </c>
      <c r="S49" s="17" t="n"/>
    </row>
    <row r="50">
      <c r="A50" s="16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6" t="n"/>
      <c r="K50" s="16">
        <f>IF(OR(J50="",I50="Won",I50="Lost",I50="Not a fit",L50="Yes"),"",J50+Settings!$B$8)</f>
        <v/>
      </c>
      <c r="L50" s="17" t="n"/>
      <c r="M50" s="17" t="n"/>
      <c r="N50" s="18" t="n"/>
      <c r="O50" s="18" t="n"/>
      <c r="P50" s="17" t="n"/>
      <c r="Q50" s="18">
        <f>IF(AND(I50="Won",P50&lt;&gt;"",N50&gt;=Settings!$B$7),MIN(N50*Settings!$B$2,Settings!$B$3),0)</f>
        <v/>
      </c>
      <c r="R50" s="18">
        <f>IF(AND(I50="Won",P50&lt;&gt;""),O50*Settings!$B$4,0)</f>
        <v/>
      </c>
      <c r="S50" s="17" t="n"/>
    </row>
    <row r="51">
      <c r="A51" s="16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6" t="n"/>
      <c r="K51" s="16">
        <f>IF(OR(J51="",I51="Won",I51="Lost",I51="Not a fit",L51="Yes"),"",J51+Settings!$B$8)</f>
        <v/>
      </c>
      <c r="L51" s="17" t="n"/>
      <c r="M51" s="17" t="n"/>
      <c r="N51" s="18" t="n"/>
      <c r="O51" s="18" t="n"/>
      <c r="P51" s="17" t="n"/>
      <c r="Q51" s="18">
        <f>IF(AND(I51="Won",P51&lt;&gt;"",N51&gt;=Settings!$B$7),MIN(N51*Settings!$B$2,Settings!$B$3),0)</f>
        <v/>
      </c>
      <c r="R51" s="18">
        <f>IF(AND(I51="Won",P51&lt;&gt;""),O51*Settings!$B$4,0)</f>
        <v/>
      </c>
      <c r="S51" s="17" t="n"/>
    </row>
    <row r="52">
      <c r="A52" s="16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6" t="n"/>
      <c r="K52" s="16">
        <f>IF(OR(J52="",I52="Won",I52="Lost",I52="Not a fit",L52="Yes"),"",J52+Settings!$B$8)</f>
        <v/>
      </c>
      <c r="L52" s="17" t="n"/>
      <c r="M52" s="17" t="n"/>
      <c r="N52" s="18" t="n"/>
      <c r="O52" s="18" t="n"/>
      <c r="P52" s="17" t="n"/>
      <c r="Q52" s="18">
        <f>IF(AND(I52="Won",P52&lt;&gt;"",N52&gt;=Settings!$B$7),MIN(N52*Settings!$B$2,Settings!$B$3),0)</f>
        <v/>
      </c>
      <c r="R52" s="18">
        <f>IF(AND(I52="Won",P52&lt;&gt;""),O52*Settings!$B$4,0)</f>
        <v/>
      </c>
      <c r="S52" s="17" t="n"/>
    </row>
    <row r="53">
      <c r="A53" s="16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6" t="n"/>
      <c r="K53" s="16">
        <f>IF(OR(J53="",I53="Won",I53="Lost",I53="Not a fit",L53="Yes"),"",J53+Settings!$B$8)</f>
        <v/>
      </c>
      <c r="L53" s="17" t="n"/>
      <c r="M53" s="17" t="n"/>
      <c r="N53" s="18" t="n"/>
      <c r="O53" s="18" t="n"/>
      <c r="P53" s="17" t="n"/>
      <c r="Q53" s="18">
        <f>IF(AND(I53="Won",P53&lt;&gt;"",N53&gt;=Settings!$B$7),MIN(N53*Settings!$B$2,Settings!$B$3),0)</f>
        <v/>
      </c>
      <c r="R53" s="18">
        <f>IF(AND(I53="Won",P53&lt;&gt;""),O53*Settings!$B$4,0)</f>
        <v/>
      </c>
      <c r="S53" s="17" t="n"/>
    </row>
    <row r="54">
      <c r="A54" s="16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6" t="n"/>
      <c r="K54" s="16">
        <f>IF(OR(J54="",I54="Won",I54="Lost",I54="Not a fit",L54="Yes"),"",J54+Settings!$B$8)</f>
        <v/>
      </c>
      <c r="L54" s="17" t="n"/>
      <c r="M54" s="17" t="n"/>
      <c r="N54" s="18" t="n"/>
      <c r="O54" s="18" t="n"/>
      <c r="P54" s="17" t="n"/>
      <c r="Q54" s="18">
        <f>IF(AND(I54="Won",P54&lt;&gt;"",N54&gt;=Settings!$B$7),MIN(N54*Settings!$B$2,Settings!$B$3),0)</f>
        <v/>
      </c>
      <c r="R54" s="18">
        <f>IF(AND(I54="Won",P54&lt;&gt;""),O54*Settings!$B$4,0)</f>
        <v/>
      </c>
      <c r="S54" s="17" t="n"/>
    </row>
    <row r="55">
      <c r="A55" s="16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6" t="n"/>
      <c r="K55" s="16">
        <f>IF(OR(J55="",I55="Won",I55="Lost",I55="Not a fit",L55="Yes"),"",J55+Settings!$B$8)</f>
        <v/>
      </c>
      <c r="L55" s="17" t="n"/>
      <c r="M55" s="17" t="n"/>
      <c r="N55" s="18" t="n"/>
      <c r="O55" s="18" t="n"/>
      <c r="P55" s="17" t="n"/>
      <c r="Q55" s="18">
        <f>IF(AND(I55="Won",P55&lt;&gt;"",N55&gt;=Settings!$B$7),MIN(N55*Settings!$B$2,Settings!$B$3),0)</f>
        <v/>
      </c>
      <c r="R55" s="18">
        <f>IF(AND(I55="Won",P55&lt;&gt;""),O55*Settings!$B$4,0)</f>
        <v/>
      </c>
      <c r="S55" s="17" t="n"/>
    </row>
    <row r="56">
      <c r="A56" s="16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6" t="n"/>
      <c r="K56" s="16">
        <f>IF(OR(J56="",I56="Won",I56="Lost",I56="Not a fit",L56="Yes"),"",J56+Settings!$B$8)</f>
        <v/>
      </c>
      <c r="L56" s="17" t="n"/>
      <c r="M56" s="17" t="n"/>
      <c r="N56" s="18" t="n"/>
      <c r="O56" s="18" t="n"/>
      <c r="P56" s="17" t="n"/>
      <c r="Q56" s="18">
        <f>IF(AND(I56="Won",P56&lt;&gt;"",N56&gt;=Settings!$B$7),MIN(N56*Settings!$B$2,Settings!$B$3),0)</f>
        <v/>
      </c>
      <c r="R56" s="18">
        <f>IF(AND(I56="Won",P56&lt;&gt;""),O56*Settings!$B$4,0)</f>
        <v/>
      </c>
      <c r="S56" s="17" t="n"/>
    </row>
    <row r="57">
      <c r="A57" s="16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6" t="n"/>
      <c r="K57" s="16">
        <f>IF(OR(J57="",I57="Won",I57="Lost",I57="Not a fit",L57="Yes"),"",J57+Settings!$B$8)</f>
        <v/>
      </c>
      <c r="L57" s="17" t="n"/>
      <c r="M57" s="17" t="n"/>
      <c r="N57" s="18" t="n"/>
      <c r="O57" s="18" t="n"/>
      <c r="P57" s="17" t="n"/>
      <c r="Q57" s="18">
        <f>IF(AND(I57="Won",P57&lt;&gt;"",N57&gt;=Settings!$B$7),MIN(N57*Settings!$B$2,Settings!$B$3),0)</f>
        <v/>
      </c>
      <c r="R57" s="18">
        <f>IF(AND(I57="Won",P57&lt;&gt;""),O57*Settings!$B$4,0)</f>
        <v/>
      </c>
      <c r="S57" s="17" t="n"/>
    </row>
    <row r="58">
      <c r="A58" s="16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6" t="n"/>
      <c r="K58" s="16">
        <f>IF(OR(J58="",I58="Won",I58="Lost",I58="Not a fit",L58="Yes"),"",J58+Settings!$B$8)</f>
        <v/>
      </c>
      <c r="L58" s="17" t="n"/>
      <c r="M58" s="17" t="n"/>
      <c r="N58" s="18" t="n"/>
      <c r="O58" s="18" t="n"/>
      <c r="P58" s="17" t="n"/>
      <c r="Q58" s="18">
        <f>IF(AND(I58="Won",P58&lt;&gt;"",N58&gt;=Settings!$B$7),MIN(N58*Settings!$B$2,Settings!$B$3),0)</f>
        <v/>
      </c>
      <c r="R58" s="18">
        <f>IF(AND(I58="Won",P58&lt;&gt;""),O58*Settings!$B$4,0)</f>
        <v/>
      </c>
      <c r="S58" s="17" t="n"/>
    </row>
    <row r="59">
      <c r="A59" s="16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6" t="n"/>
      <c r="K59" s="16">
        <f>IF(OR(J59="",I59="Won",I59="Lost",I59="Not a fit",L59="Yes"),"",J59+Settings!$B$8)</f>
        <v/>
      </c>
      <c r="L59" s="17" t="n"/>
      <c r="M59" s="17" t="n"/>
      <c r="N59" s="18" t="n"/>
      <c r="O59" s="18" t="n"/>
      <c r="P59" s="17" t="n"/>
      <c r="Q59" s="18">
        <f>IF(AND(I59="Won",P59&lt;&gt;"",N59&gt;=Settings!$B$7),MIN(N59*Settings!$B$2,Settings!$B$3),0)</f>
        <v/>
      </c>
      <c r="R59" s="18">
        <f>IF(AND(I59="Won",P59&lt;&gt;""),O59*Settings!$B$4,0)</f>
        <v/>
      </c>
      <c r="S59" s="17" t="n"/>
    </row>
    <row r="60">
      <c r="A60" s="16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6" t="n"/>
      <c r="K60" s="16">
        <f>IF(OR(J60="",I60="Won",I60="Lost",I60="Not a fit",L60="Yes"),"",J60+Settings!$B$8)</f>
        <v/>
      </c>
      <c r="L60" s="17" t="n"/>
      <c r="M60" s="17" t="n"/>
      <c r="N60" s="18" t="n"/>
      <c r="O60" s="18" t="n"/>
      <c r="P60" s="17" t="n"/>
      <c r="Q60" s="18">
        <f>IF(AND(I60="Won",P60&lt;&gt;"",N60&gt;=Settings!$B$7),MIN(N60*Settings!$B$2,Settings!$B$3),0)</f>
        <v/>
      </c>
      <c r="R60" s="18">
        <f>IF(AND(I60="Won",P60&lt;&gt;""),O60*Settings!$B$4,0)</f>
        <v/>
      </c>
      <c r="S60" s="17" t="n"/>
    </row>
    <row r="61">
      <c r="A61" s="16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6" t="n"/>
      <c r="K61" s="16">
        <f>IF(OR(J61="",I61="Won",I61="Lost",I61="Not a fit",L61="Yes"),"",J61+Settings!$B$8)</f>
        <v/>
      </c>
      <c r="L61" s="17" t="n"/>
      <c r="M61" s="17" t="n"/>
      <c r="N61" s="18" t="n"/>
      <c r="O61" s="18" t="n"/>
      <c r="P61" s="17" t="n"/>
      <c r="Q61" s="18">
        <f>IF(AND(I61="Won",P61&lt;&gt;"",N61&gt;=Settings!$B$7),MIN(N61*Settings!$B$2,Settings!$B$3),0)</f>
        <v/>
      </c>
      <c r="R61" s="18">
        <f>IF(AND(I61="Won",P61&lt;&gt;""),O61*Settings!$B$4,0)</f>
        <v/>
      </c>
      <c r="S61" s="17" t="n"/>
    </row>
    <row r="62">
      <c r="A62" s="16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6" t="n"/>
      <c r="K62" s="16">
        <f>IF(OR(J62="",I62="Won",I62="Lost",I62="Not a fit",L62="Yes"),"",J62+Settings!$B$8)</f>
        <v/>
      </c>
      <c r="L62" s="17" t="n"/>
      <c r="M62" s="17" t="n"/>
      <c r="N62" s="18" t="n"/>
      <c r="O62" s="18" t="n"/>
      <c r="P62" s="17" t="n"/>
      <c r="Q62" s="18">
        <f>IF(AND(I62="Won",P62&lt;&gt;"",N62&gt;=Settings!$B$7),MIN(N62*Settings!$B$2,Settings!$B$3),0)</f>
        <v/>
      </c>
      <c r="R62" s="18">
        <f>IF(AND(I62="Won",P62&lt;&gt;""),O62*Settings!$B$4,0)</f>
        <v/>
      </c>
      <c r="S62" s="17" t="n"/>
    </row>
    <row r="63">
      <c r="A63" s="16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6" t="n"/>
      <c r="K63" s="16">
        <f>IF(OR(J63="",I63="Won",I63="Lost",I63="Not a fit",L63="Yes"),"",J63+Settings!$B$8)</f>
        <v/>
      </c>
      <c r="L63" s="17" t="n"/>
      <c r="M63" s="17" t="n"/>
      <c r="N63" s="18" t="n"/>
      <c r="O63" s="18" t="n"/>
      <c r="P63" s="17" t="n"/>
      <c r="Q63" s="18">
        <f>IF(AND(I63="Won",P63&lt;&gt;"",N63&gt;=Settings!$B$7),MIN(N63*Settings!$B$2,Settings!$B$3),0)</f>
        <v/>
      </c>
      <c r="R63" s="18">
        <f>IF(AND(I63="Won",P63&lt;&gt;""),O63*Settings!$B$4,0)</f>
        <v/>
      </c>
      <c r="S63" s="17" t="n"/>
    </row>
    <row r="64">
      <c r="A64" s="16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6" t="n"/>
      <c r="K64" s="16">
        <f>IF(OR(J64="",I64="Won",I64="Lost",I64="Not a fit",L64="Yes"),"",J64+Settings!$B$8)</f>
        <v/>
      </c>
      <c r="L64" s="17" t="n"/>
      <c r="M64" s="17" t="n"/>
      <c r="N64" s="18" t="n"/>
      <c r="O64" s="18" t="n"/>
      <c r="P64" s="17" t="n"/>
      <c r="Q64" s="18">
        <f>IF(AND(I64="Won",P64&lt;&gt;"",N64&gt;=Settings!$B$7),MIN(N64*Settings!$B$2,Settings!$B$3),0)</f>
        <v/>
      </c>
      <c r="R64" s="18">
        <f>IF(AND(I64="Won",P64&lt;&gt;""),O64*Settings!$B$4,0)</f>
        <v/>
      </c>
      <c r="S64" s="17" t="n"/>
    </row>
    <row r="65">
      <c r="A65" s="16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6" t="n"/>
      <c r="K65" s="16">
        <f>IF(OR(J65="",I65="Won",I65="Lost",I65="Not a fit",L65="Yes"),"",J65+Settings!$B$8)</f>
        <v/>
      </c>
      <c r="L65" s="17" t="n"/>
      <c r="M65" s="17" t="n"/>
      <c r="N65" s="18" t="n"/>
      <c r="O65" s="18" t="n"/>
      <c r="P65" s="17" t="n"/>
      <c r="Q65" s="18">
        <f>IF(AND(I65="Won",P65&lt;&gt;"",N65&gt;=Settings!$B$7),MIN(N65*Settings!$B$2,Settings!$B$3),0)</f>
        <v/>
      </c>
      <c r="R65" s="18">
        <f>IF(AND(I65="Won",P65&lt;&gt;""),O65*Settings!$B$4,0)</f>
        <v/>
      </c>
      <c r="S65" s="17" t="n"/>
    </row>
    <row r="66">
      <c r="A66" s="16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6" t="n"/>
      <c r="K66" s="16">
        <f>IF(OR(J66="",I66="Won",I66="Lost",I66="Not a fit",L66="Yes"),"",J66+Settings!$B$8)</f>
        <v/>
      </c>
      <c r="L66" s="17" t="n"/>
      <c r="M66" s="17" t="n"/>
      <c r="N66" s="18" t="n"/>
      <c r="O66" s="18" t="n"/>
      <c r="P66" s="17" t="n"/>
      <c r="Q66" s="18">
        <f>IF(AND(I66="Won",P66&lt;&gt;"",N66&gt;=Settings!$B$7),MIN(N66*Settings!$B$2,Settings!$B$3),0)</f>
        <v/>
      </c>
      <c r="R66" s="18">
        <f>IF(AND(I66="Won",P66&lt;&gt;""),O66*Settings!$B$4,0)</f>
        <v/>
      </c>
      <c r="S66" s="17" t="n"/>
    </row>
    <row r="67">
      <c r="A67" s="16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6" t="n"/>
      <c r="K67" s="16">
        <f>IF(OR(J67="",I67="Won",I67="Lost",I67="Not a fit",L67="Yes"),"",J67+Settings!$B$8)</f>
        <v/>
      </c>
      <c r="L67" s="17" t="n"/>
      <c r="M67" s="17" t="n"/>
      <c r="N67" s="18" t="n"/>
      <c r="O67" s="18" t="n"/>
      <c r="P67" s="17" t="n"/>
      <c r="Q67" s="18">
        <f>IF(AND(I67="Won",P67&lt;&gt;"",N67&gt;=Settings!$B$7),MIN(N67*Settings!$B$2,Settings!$B$3),0)</f>
        <v/>
      </c>
      <c r="R67" s="18">
        <f>IF(AND(I67="Won",P67&lt;&gt;""),O67*Settings!$B$4,0)</f>
        <v/>
      </c>
      <c r="S67" s="17" t="n"/>
    </row>
    <row r="68">
      <c r="A68" s="16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6" t="n"/>
      <c r="K68" s="16">
        <f>IF(OR(J68="",I68="Won",I68="Lost",I68="Not a fit",L68="Yes"),"",J68+Settings!$B$8)</f>
        <v/>
      </c>
      <c r="L68" s="17" t="n"/>
      <c r="M68" s="17" t="n"/>
      <c r="N68" s="18" t="n"/>
      <c r="O68" s="18" t="n"/>
      <c r="P68" s="17" t="n"/>
      <c r="Q68" s="18">
        <f>IF(AND(I68="Won",P68&lt;&gt;"",N68&gt;=Settings!$B$7),MIN(N68*Settings!$B$2,Settings!$B$3),0)</f>
        <v/>
      </c>
      <c r="R68" s="18">
        <f>IF(AND(I68="Won",P68&lt;&gt;""),O68*Settings!$B$4,0)</f>
        <v/>
      </c>
      <c r="S68" s="17" t="n"/>
    </row>
    <row r="69">
      <c r="A69" s="16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6" t="n"/>
      <c r="K69" s="16">
        <f>IF(OR(J69="",I69="Won",I69="Lost",I69="Not a fit",L69="Yes"),"",J69+Settings!$B$8)</f>
        <v/>
      </c>
      <c r="L69" s="17" t="n"/>
      <c r="M69" s="17" t="n"/>
      <c r="N69" s="18" t="n"/>
      <c r="O69" s="18" t="n"/>
      <c r="P69" s="17" t="n"/>
      <c r="Q69" s="18">
        <f>IF(AND(I69="Won",P69&lt;&gt;"",N69&gt;=Settings!$B$7),MIN(N69*Settings!$B$2,Settings!$B$3),0)</f>
        <v/>
      </c>
      <c r="R69" s="18">
        <f>IF(AND(I69="Won",P69&lt;&gt;""),O69*Settings!$B$4,0)</f>
        <v/>
      </c>
      <c r="S69" s="17" t="n"/>
    </row>
    <row r="70">
      <c r="A70" s="16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6" t="n"/>
      <c r="K70" s="16">
        <f>IF(OR(J70="",I70="Won",I70="Lost",I70="Not a fit",L70="Yes"),"",J70+Settings!$B$8)</f>
        <v/>
      </c>
      <c r="L70" s="17" t="n"/>
      <c r="M70" s="17" t="n"/>
      <c r="N70" s="18" t="n"/>
      <c r="O70" s="18" t="n"/>
      <c r="P70" s="17" t="n"/>
      <c r="Q70" s="18">
        <f>IF(AND(I70="Won",P70&lt;&gt;"",N70&gt;=Settings!$B$7),MIN(N70*Settings!$B$2,Settings!$B$3),0)</f>
        <v/>
      </c>
      <c r="R70" s="18">
        <f>IF(AND(I70="Won",P70&lt;&gt;""),O70*Settings!$B$4,0)</f>
        <v/>
      </c>
      <c r="S70" s="17" t="n"/>
    </row>
    <row r="71">
      <c r="A71" s="16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6" t="n"/>
      <c r="K71" s="16">
        <f>IF(OR(J71="",I71="Won",I71="Lost",I71="Not a fit",L71="Yes"),"",J71+Settings!$B$8)</f>
        <v/>
      </c>
      <c r="L71" s="17" t="n"/>
      <c r="M71" s="17" t="n"/>
      <c r="N71" s="18" t="n"/>
      <c r="O71" s="18" t="n"/>
      <c r="P71" s="17" t="n"/>
      <c r="Q71" s="18">
        <f>IF(AND(I71="Won",P71&lt;&gt;"",N71&gt;=Settings!$B$7),MIN(N71*Settings!$B$2,Settings!$B$3),0)</f>
        <v/>
      </c>
      <c r="R71" s="18">
        <f>IF(AND(I71="Won",P71&lt;&gt;""),O71*Settings!$B$4,0)</f>
        <v/>
      </c>
      <c r="S71" s="17" t="n"/>
    </row>
    <row r="72">
      <c r="A72" s="16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6" t="n"/>
      <c r="K72" s="16">
        <f>IF(OR(J72="",I72="Won",I72="Lost",I72="Not a fit",L72="Yes"),"",J72+Settings!$B$8)</f>
        <v/>
      </c>
      <c r="L72" s="17" t="n"/>
      <c r="M72" s="17" t="n"/>
      <c r="N72" s="18" t="n"/>
      <c r="O72" s="18" t="n"/>
      <c r="P72" s="17" t="n"/>
      <c r="Q72" s="18">
        <f>IF(AND(I72="Won",P72&lt;&gt;"",N72&gt;=Settings!$B$7),MIN(N72*Settings!$B$2,Settings!$B$3),0)</f>
        <v/>
      </c>
      <c r="R72" s="18">
        <f>IF(AND(I72="Won",P72&lt;&gt;""),O72*Settings!$B$4,0)</f>
        <v/>
      </c>
      <c r="S72" s="17" t="n"/>
    </row>
    <row r="73">
      <c r="A73" s="16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6" t="n"/>
      <c r="K73" s="16">
        <f>IF(OR(J73="",I73="Won",I73="Lost",I73="Not a fit",L73="Yes"),"",J73+Settings!$B$8)</f>
        <v/>
      </c>
      <c r="L73" s="17" t="n"/>
      <c r="M73" s="17" t="n"/>
      <c r="N73" s="18" t="n"/>
      <c r="O73" s="18" t="n"/>
      <c r="P73" s="17" t="n"/>
      <c r="Q73" s="18">
        <f>IF(AND(I73="Won",P73&lt;&gt;"",N73&gt;=Settings!$B$7),MIN(N73*Settings!$B$2,Settings!$B$3),0)</f>
        <v/>
      </c>
      <c r="R73" s="18">
        <f>IF(AND(I73="Won",P73&lt;&gt;""),O73*Settings!$B$4,0)</f>
        <v/>
      </c>
      <c r="S73" s="17" t="n"/>
    </row>
    <row r="74">
      <c r="A74" s="16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6" t="n"/>
      <c r="K74" s="16">
        <f>IF(OR(J74="",I74="Won",I74="Lost",I74="Not a fit",L74="Yes"),"",J74+Settings!$B$8)</f>
        <v/>
      </c>
      <c r="L74" s="17" t="n"/>
      <c r="M74" s="17" t="n"/>
      <c r="N74" s="18" t="n"/>
      <c r="O74" s="18" t="n"/>
      <c r="P74" s="17" t="n"/>
      <c r="Q74" s="18">
        <f>IF(AND(I74="Won",P74&lt;&gt;"",N74&gt;=Settings!$B$7),MIN(N74*Settings!$B$2,Settings!$B$3),0)</f>
        <v/>
      </c>
      <c r="R74" s="18">
        <f>IF(AND(I74="Won",P74&lt;&gt;""),O74*Settings!$B$4,0)</f>
        <v/>
      </c>
      <c r="S74" s="17" t="n"/>
    </row>
    <row r="75">
      <c r="A75" s="16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6" t="n"/>
      <c r="K75" s="16">
        <f>IF(OR(J75="",I75="Won",I75="Lost",I75="Not a fit",L75="Yes"),"",J75+Settings!$B$8)</f>
        <v/>
      </c>
      <c r="L75" s="17" t="n"/>
      <c r="M75" s="17" t="n"/>
      <c r="N75" s="18" t="n"/>
      <c r="O75" s="18" t="n"/>
      <c r="P75" s="17" t="n"/>
      <c r="Q75" s="18">
        <f>IF(AND(I75="Won",P75&lt;&gt;"",N75&gt;=Settings!$B$7),MIN(N75*Settings!$B$2,Settings!$B$3),0)</f>
        <v/>
      </c>
      <c r="R75" s="18">
        <f>IF(AND(I75="Won",P75&lt;&gt;""),O75*Settings!$B$4,0)</f>
        <v/>
      </c>
      <c r="S75" s="17" t="n"/>
    </row>
    <row r="76">
      <c r="A76" s="16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6" t="n"/>
      <c r="K76" s="16">
        <f>IF(OR(J76="",I76="Won",I76="Lost",I76="Not a fit",L76="Yes"),"",J76+Settings!$B$8)</f>
        <v/>
      </c>
      <c r="L76" s="17" t="n"/>
      <c r="M76" s="17" t="n"/>
      <c r="N76" s="18" t="n"/>
      <c r="O76" s="18" t="n"/>
      <c r="P76" s="17" t="n"/>
      <c r="Q76" s="18">
        <f>IF(AND(I76="Won",P76&lt;&gt;"",N76&gt;=Settings!$B$7),MIN(N76*Settings!$B$2,Settings!$B$3),0)</f>
        <v/>
      </c>
      <c r="R76" s="18">
        <f>IF(AND(I76="Won",P76&lt;&gt;""),O76*Settings!$B$4,0)</f>
        <v/>
      </c>
      <c r="S76" s="17" t="n"/>
    </row>
    <row r="77">
      <c r="A77" s="16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6" t="n"/>
      <c r="K77" s="16">
        <f>IF(OR(J77="",I77="Won",I77="Lost",I77="Not a fit",L77="Yes"),"",J77+Settings!$B$8)</f>
        <v/>
      </c>
      <c r="L77" s="17" t="n"/>
      <c r="M77" s="17" t="n"/>
      <c r="N77" s="18" t="n"/>
      <c r="O77" s="18" t="n"/>
      <c r="P77" s="17" t="n"/>
      <c r="Q77" s="18">
        <f>IF(AND(I77="Won",P77&lt;&gt;"",N77&gt;=Settings!$B$7),MIN(N77*Settings!$B$2,Settings!$B$3),0)</f>
        <v/>
      </c>
      <c r="R77" s="18">
        <f>IF(AND(I77="Won",P77&lt;&gt;""),O77*Settings!$B$4,0)</f>
        <v/>
      </c>
      <c r="S77" s="17" t="n"/>
    </row>
    <row r="78">
      <c r="A78" s="16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6" t="n"/>
      <c r="K78" s="16">
        <f>IF(OR(J78="",I78="Won",I78="Lost",I78="Not a fit",L78="Yes"),"",J78+Settings!$B$8)</f>
        <v/>
      </c>
      <c r="L78" s="17" t="n"/>
      <c r="M78" s="17" t="n"/>
      <c r="N78" s="18" t="n"/>
      <c r="O78" s="18" t="n"/>
      <c r="P78" s="17" t="n"/>
      <c r="Q78" s="18">
        <f>IF(AND(I78="Won",P78&lt;&gt;"",N78&gt;=Settings!$B$7),MIN(N78*Settings!$B$2,Settings!$B$3),0)</f>
        <v/>
      </c>
      <c r="R78" s="18">
        <f>IF(AND(I78="Won",P78&lt;&gt;""),O78*Settings!$B$4,0)</f>
        <v/>
      </c>
      <c r="S78" s="17" t="n"/>
    </row>
    <row r="79">
      <c r="A79" s="16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6" t="n"/>
      <c r="K79" s="16">
        <f>IF(OR(J79="",I79="Won",I79="Lost",I79="Not a fit",L79="Yes"),"",J79+Settings!$B$8)</f>
        <v/>
      </c>
      <c r="L79" s="17" t="n"/>
      <c r="M79" s="17" t="n"/>
      <c r="N79" s="18" t="n"/>
      <c r="O79" s="18" t="n"/>
      <c r="P79" s="17" t="n"/>
      <c r="Q79" s="18">
        <f>IF(AND(I79="Won",P79&lt;&gt;"",N79&gt;=Settings!$B$7),MIN(N79*Settings!$B$2,Settings!$B$3),0)</f>
        <v/>
      </c>
      <c r="R79" s="18">
        <f>IF(AND(I79="Won",P79&lt;&gt;""),O79*Settings!$B$4,0)</f>
        <v/>
      </c>
      <c r="S79" s="17" t="n"/>
    </row>
    <row r="80">
      <c r="A80" s="16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6" t="n"/>
      <c r="K80" s="16">
        <f>IF(OR(J80="",I80="Won",I80="Lost",I80="Not a fit",L80="Yes"),"",J80+Settings!$B$8)</f>
        <v/>
      </c>
      <c r="L80" s="17" t="n"/>
      <c r="M80" s="17" t="n"/>
      <c r="N80" s="18" t="n"/>
      <c r="O80" s="18" t="n"/>
      <c r="P80" s="17" t="n"/>
      <c r="Q80" s="18">
        <f>IF(AND(I80="Won",P80&lt;&gt;"",N80&gt;=Settings!$B$7),MIN(N80*Settings!$B$2,Settings!$B$3),0)</f>
        <v/>
      </c>
      <c r="R80" s="18">
        <f>IF(AND(I80="Won",P80&lt;&gt;""),O80*Settings!$B$4,0)</f>
        <v/>
      </c>
      <c r="S80" s="17" t="n"/>
    </row>
    <row r="81">
      <c r="A81" s="16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6" t="n"/>
      <c r="K81" s="16">
        <f>IF(OR(J81="",I81="Won",I81="Lost",I81="Not a fit",L81="Yes"),"",J81+Settings!$B$8)</f>
        <v/>
      </c>
      <c r="L81" s="17" t="n"/>
      <c r="M81" s="17" t="n"/>
      <c r="N81" s="18" t="n"/>
      <c r="O81" s="18" t="n"/>
      <c r="P81" s="17" t="n"/>
      <c r="Q81" s="18">
        <f>IF(AND(I81="Won",P81&lt;&gt;"",N81&gt;=Settings!$B$7),MIN(N81*Settings!$B$2,Settings!$B$3),0)</f>
        <v/>
      </c>
      <c r="R81" s="18">
        <f>IF(AND(I81="Won",P81&lt;&gt;""),O81*Settings!$B$4,0)</f>
        <v/>
      </c>
      <c r="S81" s="17" t="n"/>
    </row>
    <row r="82">
      <c r="A82" s="16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6" t="n"/>
      <c r="K82" s="16">
        <f>IF(OR(J82="",I82="Won",I82="Lost",I82="Not a fit",L82="Yes"),"",J82+Settings!$B$8)</f>
        <v/>
      </c>
      <c r="L82" s="17" t="n"/>
      <c r="M82" s="17" t="n"/>
      <c r="N82" s="18" t="n"/>
      <c r="O82" s="18" t="n"/>
      <c r="P82" s="17" t="n"/>
      <c r="Q82" s="18">
        <f>IF(AND(I82="Won",P82&lt;&gt;"",N82&gt;=Settings!$B$7),MIN(N82*Settings!$B$2,Settings!$B$3),0)</f>
        <v/>
      </c>
      <c r="R82" s="18">
        <f>IF(AND(I82="Won",P82&lt;&gt;""),O82*Settings!$B$4,0)</f>
        <v/>
      </c>
      <c r="S82" s="17" t="n"/>
    </row>
    <row r="83">
      <c r="A83" s="16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6" t="n"/>
      <c r="K83" s="16">
        <f>IF(OR(J83="",I83="Won",I83="Lost",I83="Not a fit",L83="Yes"),"",J83+Settings!$B$8)</f>
        <v/>
      </c>
      <c r="L83" s="17" t="n"/>
      <c r="M83" s="17" t="n"/>
      <c r="N83" s="18" t="n"/>
      <c r="O83" s="18" t="n"/>
      <c r="P83" s="17" t="n"/>
      <c r="Q83" s="18">
        <f>IF(AND(I83="Won",P83&lt;&gt;"",N83&gt;=Settings!$B$7),MIN(N83*Settings!$B$2,Settings!$B$3),0)</f>
        <v/>
      </c>
      <c r="R83" s="18">
        <f>IF(AND(I83="Won",P83&lt;&gt;""),O83*Settings!$B$4,0)</f>
        <v/>
      </c>
      <c r="S83" s="17" t="n"/>
    </row>
    <row r="84">
      <c r="A84" s="16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6" t="n"/>
      <c r="K84" s="16">
        <f>IF(OR(J84="",I84="Won",I84="Lost",I84="Not a fit",L84="Yes"),"",J84+Settings!$B$8)</f>
        <v/>
      </c>
      <c r="L84" s="17" t="n"/>
      <c r="M84" s="17" t="n"/>
      <c r="N84" s="18" t="n"/>
      <c r="O84" s="18" t="n"/>
      <c r="P84" s="17" t="n"/>
      <c r="Q84" s="18">
        <f>IF(AND(I84="Won",P84&lt;&gt;"",N84&gt;=Settings!$B$7),MIN(N84*Settings!$B$2,Settings!$B$3),0)</f>
        <v/>
      </c>
      <c r="R84" s="18">
        <f>IF(AND(I84="Won",P84&lt;&gt;""),O84*Settings!$B$4,0)</f>
        <v/>
      </c>
      <c r="S84" s="17" t="n"/>
    </row>
    <row r="85">
      <c r="A85" s="16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6" t="n"/>
      <c r="K85" s="16">
        <f>IF(OR(J85="",I85="Won",I85="Lost",I85="Not a fit",L85="Yes"),"",J85+Settings!$B$8)</f>
        <v/>
      </c>
      <c r="L85" s="17" t="n"/>
      <c r="M85" s="17" t="n"/>
      <c r="N85" s="18" t="n"/>
      <c r="O85" s="18" t="n"/>
      <c r="P85" s="17" t="n"/>
      <c r="Q85" s="18">
        <f>IF(AND(I85="Won",P85&lt;&gt;"",N85&gt;=Settings!$B$7),MIN(N85*Settings!$B$2,Settings!$B$3),0)</f>
        <v/>
      </c>
      <c r="R85" s="18">
        <f>IF(AND(I85="Won",P85&lt;&gt;""),O85*Settings!$B$4,0)</f>
        <v/>
      </c>
      <c r="S85" s="17" t="n"/>
    </row>
    <row r="86">
      <c r="A86" s="16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6" t="n"/>
      <c r="K86" s="16">
        <f>IF(OR(J86="",I86="Won",I86="Lost",I86="Not a fit",L86="Yes"),"",J86+Settings!$B$8)</f>
        <v/>
      </c>
      <c r="L86" s="17" t="n"/>
      <c r="M86" s="17" t="n"/>
      <c r="N86" s="18" t="n"/>
      <c r="O86" s="18" t="n"/>
      <c r="P86" s="17" t="n"/>
      <c r="Q86" s="18">
        <f>IF(AND(I86="Won",P86&lt;&gt;"",N86&gt;=Settings!$B$7),MIN(N86*Settings!$B$2,Settings!$B$3),0)</f>
        <v/>
      </c>
      <c r="R86" s="18">
        <f>IF(AND(I86="Won",P86&lt;&gt;""),O86*Settings!$B$4,0)</f>
        <v/>
      </c>
      <c r="S86" s="17" t="n"/>
    </row>
    <row r="87">
      <c r="A87" s="16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6" t="n"/>
      <c r="K87" s="16">
        <f>IF(OR(J87="",I87="Won",I87="Lost",I87="Not a fit",L87="Yes"),"",J87+Settings!$B$8)</f>
        <v/>
      </c>
      <c r="L87" s="17" t="n"/>
      <c r="M87" s="17" t="n"/>
      <c r="N87" s="18" t="n"/>
      <c r="O87" s="18" t="n"/>
      <c r="P87" s="17" t="n"/>
      <c r="Q87" s="18">
        <f>IF(AND(I87="Won",P87&lt;&gt;"",N87&gt;=Settings!$B$7),MIN(N87*Settings!$B$2,Settings!$B$3),0)</f>
        <v/>
      </c>
      <c r="R87" s="18">
        <f>IF(AND(I87="Won",P87&lt;&gt;""),O87*Settings!$B$4,0)</f>
        <v/>
      </c>
      <c r="S87" s="17" t="n"/>
    </row>
    <row r="88">
      <c r="A88" s="16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6" t="n"/>
      <c r="K88" s="16">
        <f>IF(OR(J88="",I88="Won",I88="Lost",I88="Not a fit",L88="Yes"),"",J88+Settings!$B$8)</f>
        <v/>
      </c>
      <c r="L88" s="17" t="n"/>
      <c r="M88" s="17" t="n"/>
      <c r="N88" s="18" t="n"/>
      <c r="O88" s="18" t="n"/>
      <c r="P88" s="17" t="n"/>
      <c r="Q88" s="18">
        <f>IF(AND(I88="Won",P88&lt;&gt;"",N88&gt;=Settings!$B$7),MIN(N88*Settings!$B$2,Settings!$B$3),0)</f>
        <v/>
      </c>
      <c r="R88" s="18">
        <f>IF(AND(I88="Won",P88&lt;&gt;""),O88*Settings!$B$4,0)</f>
        <v/>
      </c>
      <c r="S88" s="17" t="n"/>
    </row>
    <row r="89">
      <c r="A89" s="16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6" t="n"/>
      <c r="K89" s="16">
        <f>IF(OR(J89="",I89="Won",I89="Lost",I89="Not a fit",L89="Yes"),"",J89+Settings!$B$8)</f>
        <v/>
      </c>
      <c r="L89" s="17" t="n"/>
      <c r="M89" s="17" t="n"/>
      <c r="N89" s="18" t="n"/>
      <c r="O89" s="18" t="n"/>
      <c r="P89" s="17" t="n"/>
      <c r="Q89" s="18">
        <f>IF(AND(I89="Won",P89&lt;&gt;"",N89&gt;=Settings!$B$7),MIN(N89*Settings!$B$2,Settings!$B$3),0)</f>
        <v/>
      </c>
      <c r="R89" s="18">
        <f>IF(AND(I89="Won",P89&lt;&gt;""),O89*Settings!$B$4,0)</f>
        <v/>
      </c>
      <c r="S89" s="17" t="n"/>
    </row>
    <row r="90">
      <c r="A90" s="16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6" t="n"/>
      <c r="K90" s="16">
        <f>IF(OR(J90="",I90="Won",I90="Lost",I90="Not a fit",L90="Yes"),"",J90+Settings!$B$8)</f>
        <v/>
      </c>
      <c r="L90" s="17" t="n"/>
      <c r="M90" s="17" t="n"/>
      <c r="N90" s="18" t="n"/>
      <c r="O90" s="18" t="n"/>
      <c r="P90" s="17" t="n"/>
      <c r="Q90" s="18">
        <f>IF(AND(I90="Won",P90&lt;&gt;"",N90&gt;=Settings!$B$7),MIN(N90*Settings!$B$2,Settings!$B$3),0)</f>
        <v/>
      </c>
      <c r="R90" s="18">
        <f>IF(AND(I90="Won",P90&lt;&gt;""),O90*Settings!$B$4,0)</f>
        <v/>
      </c>
      <c r="S90" s="17" t="n"/>
    </row>
    <row r="91">
      <c r="A91" s="16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6" t="n"/>
      <c r="K91" s="16">
        <f>IF(OR(J91="",I91="Won",I91="Lost",I91="Not a fit",L91="Yes"),"",J91+Settings!$B$8)</f>
        <v/>
      </c>
      <c r="L91" s="17" t="n"/>
      <c r="M91" s="17" t="n"/>
      <c r="N91" s="18" t="n"/>
      <c r="O91" s="18" t="n"/>
      <c r="P91" s="17" t="n"/>
      <c r="Q91" s="18">
        <f>IF(AND(I91="Won",P91&lt;&gt;"",N91&gt;=Settings!$B$7),MIN(N91*Settings!$B$2,Settings!$B$3),0)</f>
        <v/>
      </c>
      <c r="R91" s="18">
        <f>IF(AND(I91="Won",P91&lt;&gt;""),O91*Settings!$B$4,0)</f>
        <v/>
      </c>
      <c r="S91" s="17" t="n"/>
    </row>
    <row r="92">
      <c r="A92" s="16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6" t="n"/>
      <c r="K92" s="16">
        <f>IF(OR(J92="",I92="Won",I92="Lost",I92="Not a fit",L92="Yes"),"",J92+Settings!$B$8)</f>
        <v/>
      </c>
      <c r="L92" s="17" t="n"/>
      <c r="M92" s="17" t="n"/>
      <c r="N92" s="18" t="n"/>
      <c r="O92" s="18" t="n"/>
      <c r="P92" s="17" t="n"/>
      <c r="Q92" s="18">
        <f>IF(AND(I92="Won",P92&lt;&gt;"",N92&gt;=Settings!$B$7),MIN(N92*Settings!$B$2,Settings!$B$3),0)</f>
        <v/>
      </c>
      <c r="R92" s="18">
        <f>IF(AND(I92="Won",P92&lt;&gt;""),O92*Settings!$B$4,0)</f>
        <v/>
      </c>
      <c r="S92" s="17" t="n"/>
    </row>
    <row r="93">
      <c r="A93" s="16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6" t="n"/>
      <c r="K93" s="16">
        <f>IF(OR(J93="",I93="Won",I93="Lost",I93="Not a fit",L93="Yes"),"",J93+Settings!$B$8)</f>
        <v/>
      </c>
      <c r="L93" s="17" t="n"/>
      <c r="M93" s="17" t="n"/>
      <c r="N93" s="18" t="n"/>
      <c r="O93" s="18" t="n"/>
      <c r="P93" s="17" t="n"/>
      <c r="Q93" s="18">
        <f>IF(AND(I93="Won",P93&lt;&gt;"",N93&gt;=Settings!$B$7),MIN(N93*Settings!$B$2,Settings!$B$3),0)</f>
        <v/>
      </c>
      <c r="R93" s="18">
        <f>IF(AND(I93="Won",P93&lt;&gt;""),O93*Settings!$B$4,0)</f>
        <v/>
      </c>
      <c r="S93" s="17" t="n"/>
    </row>
    <row r="94">
      <c r="A94" s="16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6" t="n"/>
      <c r="K94" s="16">
        <f>IF(OR(J94="",I94="Won",I94="Lost",I94="Not a fit",L94="Yes"),"",J94+Settings!$B$8)</f>
        <v/>
      </c>
      <c r="L94" s="17" t="n"/>
      <c r="M94" s="17" t="n"/>
      <c r="N94" s="18" t="n"/>
      <c r="O94" s="18" t="n"/>
      <c r="P94" s="17" t="n"/>
      <c r="Q94" s="18">
        <f>IF(AND(I94="Won",P94&lt;&gt;"",N94&gt;=Settings!$B$7),MIN(N94*Settings!$B$2,Settings!$B$3),0)</f>
        <v/>
      </c>
      <c r="R94" s="18">
        <f>IF(AND(I94="Won",P94&lt;&gt;""),O94*Settings!$B$4,0)</f>
        <v/>
      </c>
      <c r="S94" s="17" t="n"/>
    </row>
    <row r="95">
      <c r="A95" s="16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6" t="n"/>
      <c r="K95" s="16">
        <f>IF(OR(J95="",I95="Won",I95="Lost",I95="Not a fit",L95="Yes"),"",J95+Settings!$B$8)</f>
        <v/>
      </c>
      <c r="L95" s="17" t="n"/>
      <c r="M95" s="17" t="n"/>
      <c r="N95" s="18" t="n"/>
      <c r="O95" s="18" t="n"/>
      <c r="P95" s="17" t="n"/>
      <c r="Q95" s="18">
        <f>IF(AND(I95="Won",P95&lt;&gt;"",N95&gt;=Settings!$B$7),MIN(N95*Settings!$B$2,Settings!$B$3),0)</f>
        <v/>
      </c>
      <c r="R95" s="18">
        <f>IF(AND(I95="Won",P95&lt;&gt;""),O95*Settings!$B$4,0)</f>
        <v/>
      </c>
      <c r="S95" s="17" t="n"/>
    </row>
    <row r="96">
      <c r="A96" s="16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6" t="n"/>
      <c r="K96" s="16">
        <f>IF(OR(J96="",I96="Won",I96="Lost",I96="Not a fit",L96="Yes"),"",J96+Settings!$B$8)</f>
        <v/>
      </c>
      <c r="L96" s="17" t="n"/>
      <c r="M96" s="17" t="n"/>
      <c r="N96" s="18" t="n"/>
      <c r="O96" s="18" t="n"/>
      <c r="P96" s="17" t="n"/>
      <c r="Q96" s="18">
        <f>IF(AND(I96="Won",P96&lt;&gt;"",N96&gt;=Settings!$B$7),MIN(N96*Settings!$B$2,Settings!$B$3),0)</f>
        <v/>
      </c>
      <c r="R96" s="18">
        <f>IF(AND(I96="Won",P96&lt;&gt;""),O96*Settings!$B$4,0)</f>
        <v/>
      </c>
      <c r="S96" s="17" t="n"/>
    </row>
    <row r="97">
      <c r="A97" s="16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6" t="n"/>
      <c r="K97" s="16">
        <f>IF(OR(J97="",I97="Won",I97="Lost",I97="Not a fit",L97="Yes"),"",J97+Settings!$B$8)</f>
        <v/>
      </c>
      <c r="L97" s="17" t="n"/>
      <c r="M97" s="17" t="n"/>
      <c r="N97" s="18" t="n"/>
      <c r="O97" s="18" t="n"/>
      <c r="P97" s="17" t="n"/>
      <c r="Q97" s="18">
        <f>IF(AND(I97="Won",P97&lt;&gt;"",N97&gt;=Settings!$B$7),MIN(N97*Settings!$B$2,Settings!$B$3),0)</f>
        <v/>
      </c>
      <c r="R97" s="18">
        <f>IF(AND(I97="Won",P97&lt;&gt;""),O97*Settings!$B$4,0)</f>
        <v/>
      </c>
      <c r="S97" s="17" t="n"/>
    </row>
    <row r="98">
      <c r="A98" s="16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6" t="n"/>
      <c r="K98" s="16">
        <f>IF(OR(J98="",I98="Won",I98="Lost",I98="Not a fit",L98="Yes"),"",J98+Settings!$B$8)</f>
        <v/>
      </c>
      <c r="L98" s="17" t="n"/>
      <c r="M98" s="17" t="n"/>
      <c r="N98" s="18" t="n"/>
      <c r="O98" s="18" t="n"/>
      <c r="P98" s="17" t="n"/>
      <c r="Q98" s="18">
        <f>IF(AND(I98="Won",P98&lt;&gt;"",N98&gt;=Settings!$B$7),MIN(N98*Settings!$B$2,Settings!$B$3),0)</f>
        <v/>
      </c>
      <c r="R98" s="18">
        <f>IF(AND(I98="Won",P98&lt;&gt;""),O98*Settings!$B$4,0)</f>
        <v/>
      </c>
      <c r="S98" s="17" t="n"/>
    </row>
    <row r="99">
      <c r="A99" s="16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6" t="n"/>
      <c r="K99" s="16">
        <f>IF(OR(J99="",I99="Won",I99="Lost",I99="Not a fit",L99="Yes"),"",J99+Settings!$B$8)</f>
        <v/>
      </c>
      <c r="L99" s="17" t="n"/>
      <c r="M99" s="17" t="n"/>
      <c r="N99" s="18" t="n"/>
      <c r="O99" s="18" t="n"/>
      <c r="P99" s="17" t="n"/>
      <c r="Q99" s="18">
        <f>IF(AND(I99="Won",P99&lt;&gt;"",N99&gt;=Settings!$B$7),MIN(N99*Settings!$B$2,Settings!$B$3),0)</f>
        <v/>
      </c>
      <c r="R99" s="18">
        <f>IF(AND(I99="Won",P99&lt;&gt;""),O99*Settings!$B$4,0)</f>
        <v/>
      </c>
      <c r="S99" s="17" t="n"/>
    </row>
    <row r="100">
      <c r="A100" s="16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6" t="n"/>
      <c r="K100" s="16">
        <f>IF(OR(J100="",I100="Won",I100="Lost",I100="Not a fit",L100="Yes"),"",J100+Settings!$B$8)</f>
        <v/>
      </c>
      <c r="L100" s="17" t="n"/>
      <c r="M100" s="17" t="n"/>
      <c r="N100" s="18" t="n"/>
      <c r="O100" s="18" t="n"/>
      <c r="P100" s="17" t="n"/>
      <c r="Q100" s="18">
        <f>IF(AND(I100="Won",P100&lt;&gt;"",N100&gt;=Settings!$B$7),MIN(N100*Settings!$B$2,Settings!$B$3),0)</f>
        <v/>
      </c>
      <c r="R100" s="18">
        <f>IF(AND(I100="Won",P100&lt;&gt;""),O100*Settings!$B$4,0)</f>
        <v/>
      </c>
      <c r="S100" s="17" t="n"/>
    </row>
    <row r="101">
      <c r="A101" s="16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6" t="n"/>
      <c r="K101" s="16">
        <f>IF(OR(J101="",I101="Won",I101="Lost",I101="Not a fit",L101="Yes"),"",J101+Settings!$B$8)</f>
        <v/>
      </c>
      <c r="L101" s="17" t="n"/>
      <c r="M101" s="17" t="n"/>
      <c r="N101" s="18" t="n"/>
      <c r="O101" s="18" t="n"/>
      <c r="P101" s="17" t="n"/>
      <c r="Q101" s="18">
        <f>IF(AND(I101="Won",P101&lt;&gt;"",N101&gt;=Settings!$B$7),MIN(N101*Settings!$B$2,Settings!$B$3),0)</f>
        <v/>
      </c>
      <c r="R101" s="18">
        <f>IF(AND(I101="Won",P101&lt;&gt;""),O101*Settings!$B$4,0)</f>
        <v/>
      </c>
      <c r="S101" s="17" t="n"/>
    </row>
    <row r="102">
      <c r="A102" s="16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6" t="n"/>
      <c r="K102" s="16">
        <f>IF(OR(J102="",I102="Won",I102="Lost",I102="Not a fit",L102="Yes"),"",J102+Settings!$B$8)</f>
        <v/>
      </c>
      <c r="L102" s="17" t="n"/>
      <c r="M102" s="17" t="n"/>
      <c r="N102" s="18" t="n"/>
      <c r="O102" s="18" t="n"/>
      <c r="P102" s="17" t="n"/>
      <c r="Q102" s="18">
        <f>IF(AND(I102="Won",P102&lt;&gt;"",N102&gt;=Settings!$B$7),MIN(N102*Settings!$B$2,Settings!$B$3),0)</f>
        <v/>
      </c>
      <c r="R102" s="18">
        <f>IF(AND(I102="Won",P102&lt;&gt;""),O102*Settings!$B$4,0)</f>
        <v/>
      </c>
      <c r="S102" s="17" t="n"/>
    </row>
    <row r="103">
      <c r="A103" s="16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6" t="n"/>
      <c r="K103" s="16">
        <f>IF(OR(J103="",I103="Won",I103="Lost",I103="Not a fit",L103="Yes"),"",J103+Settings!$B$8)</f>
        <v/>
      </c>
      <c r="L103" s="17" t="n"/>
      <c r="M103" s="17" t="n"/>
      <c r="N103" s="18" t="n"/>
      <c r="O103" s="18" t="n"/>
      <c r="P103" s="17" t="n"/>
      <c r="Q103" s="18">
        <f>IF(AND(I103="Won",P103&lt;&gt;"",N103&gt;=Settings!$B$7),MIN(N103*Settings!$B$2,Settings!$B$3),0)</f>
        <v/>
      </c>
      <c r="R103" s="18">
        <f>IF(AND(I103="Won",P103&lt;&gt;""),O103*Settings!$B$4,0)</f>
        <v/>
      </c>
      <c r="S103" s="17" t="n"/>
    </row>
    <row r="104">
      <c r="A104" s="16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6" t="n"/>
      <c r="K104" s="16">
        <f>IF(OR(J104="",I104="Won",I104="Lost",I104="Not a fit",L104="Yes"),"",J104+Settings!$B$8)</f>
        <v/>
      </c>
      <c r="L104" s="17" t="n"/>
      <c r="M104" s="17" t="n"/>
      <c r="N104" s="18" t="n"/>
      <c r="O104" s="18" t="n"/>
      <c r="P104" s="17" t="n"/>
      <c r="Q104" s="18">
        <f>IF(AND(I104="Won",P104&lt;&gt;"",N104&gt;=Settings!$B$7),MIN(N104*Settings!$B$2,Settings!$B$3),0)</f>
        <v/>
      </c>
      <c r="R104" s="18">
        <f>IF(AND(I104="Won",P104&lt;&gt;""),O104*Settings!$B$4,0)</f>
        <v/>
      </c>
      <c r="S104" s="17" t="n"/>
    </row>
    <row r="105">
      <c r="A105" s="16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6" t="n"/>
      <c r="K105" s="16">
        <f>IF(OR(J105="",I105="Won",I105="Lost",I105="Not a fit",L105="Yes"),"",J105+Settings!$B$8)</f>
        <v/>
      </c>
      <c r="L105" s="17" t="n"/>
      <c r="M105" s="17" t="n"/>
      <c r="N105" s="18" t="n"/>
      <c r="O105" s="18" t="n"/>
      <c r="P105" s="17" t="n"/>
      <c r="Q105" s="18">
        <f>IF(AND(I105="Won",P105&lt;&gt;"",N105&gt;=Settings!$B$7),MIN(N105*Settings!$B$2,Settings!$B$3),0)</f>
        <v/>
      </c>
      <c r="R105" s="18">
        <f>IF(AND(I105="Won",P105&lt;&gt;""),O105*Settings!$B$4,0)</f>
        <v/>
      </c>
      <c r="S105" s="17" t="n"/>
    </row>
    <row r="106">
      <c r="A106" s="16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6" t="n"/>
      <c r="K106" s="16">
        <f>IF(OR(J106="",I106="Won",I106="Lost",I106="Not a fit",L106="Yes"),"",J106+Settings!$B$8)</f>
        <v/>
      </c>
      <c r="L106" s="17" t="n"/>
      <c r="M106" s="17" t="n"/>
      <c r="N106" s="18" t="n"/>
      <c r="O106" s="18" t="n"/>
      <c r="P106" s="17" t="n"/>
      <c r="Q106" s="18">
        <f>IF(AND(I106="Won",P106&lt;&gt;"",N106&gt;=Settings!$B$7),MIN(N106*Settings!$B$2,Settings!$B$3),0)</f>
        <v/>
      </c>
      <c r="R106" s="18">
        <f>IF(AND(I106="Won",P106&lt;&gt;""),O106*Settings!$B$4,0)</f>
        <v/>
      </c>
      <c r="S106" s="17" t="n"/>
    </row>
    <row r="107">
      <c r="A107" s="16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6" t="n"/>
      <c r="K107" s="16">
        <f>IF(OR(J107="",I107="Won",I107="Lost",I107="Not a fit",L107="Yes"),"",J107+Settings!$B$8)</f>
        <v/>
      </c>
      <c r="L107" s="17" t="n"/>
      <c r="M107" s="17" t="n"/>
      <c r="N107" s="18" t="n"/>
      <c r="O107" s="18" t="n"/>
      <c r="P107" s="17" t="n"/>
      <c r="Q107" s="18">
        <f>IF(AND(I107="Won",P107&lt;&gt;"",N107&gt;=Settings!$B$7),MIN(N107*Settings!$B$2,Settings!$B$3),0)</f>
        <v/>
      </c>
      <c r="R107" s="18">
        <f>IF(AND(I107="Won",P107&lt;&gt;""),O107*Settings!$B$4,0)</f>
        <v/>
      </c>
      <c r="S107" s="17" t="n"/>
    </row>
    <row r="108">
      <c r="A108" s="16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6" t="n"/>
      <c r="K108" s="16">
        <f>IF(OR(J108="",I108="Won",I108="Lost",I108="Not a fit",L108="Yes"),"",J108+Settings!$B$8)</f>
        <v/>
      </c>
      <c r="L108" s="17" t="n"/>
      <c r="M108" s="17" t="n"/>
      <c r="N108" s="18" t="n"/>
      <c r="O108" s="18" t="n"/>
      <c r="P108" s="17" t="n"/>
      <c r="Q108" s="18">
        <f>IF(AND(I108="Won",P108&lt;&gt;"",N108&gt;=Settings!$B$7),MIN(N108*Settings!$B$2,Settings!$B$3),0)</f>
        <v/>
      </c>
      <c r="R108" s="18">
        <f>IF(AND(I108="Won",P108&lt;&gt;""),O108*Settings!$B$4,0)</f>
        <v/>
      </c>
      <c r="S108" s="17" t="n"/>
    </row>
    <row r="109">
      <c r="A109" s="16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6" t="n"/>
      <c r="K109" s="16">
        <f>IF(OR(J109="",I109="Won",I109="Lost",I109="Not a fit",L109="Yes"),"",J109+Settings!$B$8)</f>
        <v/>
      </c>
      <c r="L109" s="17" t="n"/>
      <c r="M109" s="17" t="n"/>
      <c r="N109" s="18" t="n"/>
      <c r="O109" s="18" t="n"/>
      <c r="P109" s="17" t="n"/>
      <c r="Q109" s="18">
        <f>IF(AND(I109="Won",P109&lt;&gt;"",N109&gt;=Settings!$B$7),MIN(N109*Settings!$B$2,Settings!$B$3),0)</f>
        <v/>
      </c>
      <c r="R109" s="18">
        <f>IF(AND(I109="Won",P109&lt;&gt;""),O109*Settings!$B$4,0)</f>
        <v/>
      </c>
      <c r="S109" s="17" t="n"/>
    </row>
    <row r="110">
      <c r="A110" s="16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6" t="n"/>
      <c r="K110" s="16">
        <f>IF(OR(J110="",I110="Won",I110="Lost",I110="Not a fit",L110="Yes"),"",J110+Settings!$B$8)</f>
        <v/>
      </c>
      <c r="L110" s="17" t="n"/>
      <c r="M110" s="17" t="n"/>
      <c r="N110" s="18" t="n"/>
      <c r="O110" s="18" t="n"/>
      <c r="P110" s="17" t="n"/>
      <c r="Q110" s="18">
        <f>IF(AND(I110="Won",P110&lt;&gt;"",N110&gt;=Settings!$B$7),MIN(N110*Settings!$B$2,Settings!$B$3),0)</f>
        <v/>
      </c>
      <c r="R110" s="18">
        <f>IF(AND(I110="Won",P110&lt;&gt;""),O110*Settings!$B$4,0)</f>
        <v/>
      </c>
      <c r="S110" s="17" t="n"/>
    </row>
    <row r="111">
      <c r="A111" s="16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6" t="n"/>
      <c r="K111" s="16">
        <f>IF(OR(J111="",I111="Won",I111="Lost",I111="Not a fit",L111="Yes"),"",J111+Settings!$B$8)</f>
        <v/>
      </c>
      <c r="L111" s="17" t="n"/>
      <c r="M111" s="17" t="n"/>
      <c r="N111" s="18" t="n"/>
      <c r="O111" s="18" t="n"/>
      <c r="P111" s="17" t="n"/>
      <c r="Q111" s="18">
        <f>IF(AND(I111="Won",P111&lt;&gt;"",N111&gt;=Settings!$B$7),MIN(N111*Settings!$B$2,Settings!$B$3),0)</f>
        <v/>
      </c>
      <c r="R111" s="18">
        <f>IF(AND(I111="Won",P111&lt;&gt;""),O111*Settings!$B$4,0)</f>
        <v/>
      </c>
      <c r="S111" s="17" t="n"/>
    </row>
    <row r="112">
      <c r="A112" s="16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6" t="n"/>
      <c r="K112" s="16">
        <f>IF(OR(J112="",I112="Won",I112="Lost",I112="Not a fit",L112="Yes"),"",J112+Settings!$B$8)</f>
        <v/>
      </c>
      <c r="L112" s="17" t="n"/>
      <c r="M112" s="17" t="n"/>
      <c r="N112" s="18" t="n"/>
      <c r="O112" s="18" t="n"/>
      <c r="P112" s="17" t="n"/>
      <c r="Q112" s="18">
        <f>IF(AND(I112="Won",P112&lt;&gt;"",N112&gt;=Settings!$B$7),MIN(N112*Settings!$B$2,Settings!$B$3),0)</f>
        <v/>
      </c>
      <c r="R112" s="18">
        <f>IF(AND(I112="Won",P112&lt;&gt;""),O112*Settings!$B$4,0)</f>
        <v/>
      </c>
      <c r="S112" s="17" t="n"/>
    </row>
    <row r="113">
      <c r="A113" s="16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6" t="n"/>
      <c r="K113" s="16">
        <f>IF(OR(J113="",I113="Won",I113="Lost",I113="Not a fit",L113="Yes"),"",J113+Settings!$B$8)</f>
        <v/>
      </c>
      <c r="L113" s="17" t="n"/>
      <c r="M113" s="17" t="n"/>
      <c r="N113" s="18" t="n"/>
      <c r="O113" s="18" t="n"/>
      <c r="P113" s="17" t="n"/>
      <c r="Q113" s="18">
        <f>IF(AND(I113="Won",P113&lt;&gt;"",N113&gt;=Settings!$B$7),MIN(N113*Settings!$B$2,Settings!$B$3),0)</f>
        <v/>
      </c>
      <c r="R113" s="18">
        <f>IF(AND(I113="Won",P113&lt;&gt;""),O113*Settings!$B$4,0)</f>
        <v/>
      </c>
      <c r="S113" s="17" t="n"/>
    </row>
    <row r="114">
      <c r="A114" s="16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6" t="n"/>
      <c r="K114" s="16">
        <f>IF(OR(J114="",I114="Won",I114="Lost",I114="Not a fit",L114="Yes"),"",J114+Settings!$B$8)</f>
        <v/>
      </c>
      <c r="L114" s="17" t="n"/>
      <c r="M114" s="17" t="n"/>
      <c r="N114" s="18" t="n"/>
      <c r="O114" s="18" t="n"/>
      <c r="P114" s="17" t="n"/>
      <c r="Q114" s="18">
        <f>IF(AND(I114="Won",P114&lt;&gt;"",N114&gt;=Settings!$B$7),MIN(N114*Settings!$B$2,Settings!$B$3),0)</f>
        <v/>
      </c>
      <c r="R114" s="18">
        <f>IF(AND(I114="Won",P114&lt;&gt;""),O114*Settings!$B$4,0)</f>
        <v/>
      </c>
      <c r="S114" s="17" t="n"/>
    </row>
    <row r="115">
      <c r="A115" s="16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6" t="n"/>
      <c r="K115" s="16">
        <f>IF(OR(J115="",I115="Won",I115="Lost",I115="Not a fit",L115="Yes"),"",J115+Settings!$B$8)</f>
        <v/>
      </c>
      <c r="L115" s="17" t="n"/>
      <c r="M115" s="17" t="n"/>
      <c r="N115" s="18" t="n"/>
      <c r="O115" s="18" t="n"/>
      <c r="P115" s="17" t="n"/>
      <c r="Q115" s="18">
        <f>IF(AND(I115="Won",P115&lt;&gt;"",N115&gt;=Settings!$B$7),MIN(N115*Settings!$B$2,Settings!$B$3),0)</f>
        <v/>
      </c>
      <c r="R115" s="18">
        <f>IF(AND(I115="Won",P115&lt;&gt;""),O115*Settings!$B$4,0)</f>
        <v/>
      </c>
      <c r="S115" s="17" t="n"/>
    </row>
    <row r="116">
      <c r="A116" s="16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6" t="n"/>
      <c r="K116" s="16">
        <f>IF(OR(J116="",I116="Won",I116="Lost",I116="Not a fit",L116="Yes"),"",J116+Settings!$B$8)</f>
        <v/>
      </c>
      <c r="L116" s="17" t="n"/>
      <c r="M116" s="17" t="n"/>
      <c r="N116" s="18" t="n"/>
      <c r="O116" s="18" t="n"/>
      <c r="P116" s="17" t="n"/>
      <c r="Q116" s="18">
        <f>IF(AND(I116="Won",P116&lt;&gt;"",N116&gt;=Settings!$B$7),MIN(N116*Settings!$B$2,Settings!$B$3),0)</f>
        <v/>
      </c>
      <c r="R116" s="18">
        <f>IF(AND(I116="Won",P116&lt;&gt;""),O116*Settings!$B$4,0)</f>
        <v/>
      </c>
      <c r="S116" s="17" t="n"/>
    </row>
    <row r="117">
      <c r="A117" s="16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6" t="n"/>
      <c r="K117" s="16">
        <f>IF(OR(J117="",I117="Won",I117="Lost",I117="Not a fit",L117="Yes"),"",J117+Settings!$B$8)</f>
        <v/>
      </c>
      <c r="L117" s="17" t="n"/>
      <c r="M117" s="17" t="n"/>
      <c r="N117" s="18" t="n"/>
      <c r="O117" s="18" t="n"/>
      <c r="P117" s="17" t="n"/>
      <c r="Q117" s="18">
        <f>IF(AND(I117="Won",P117&lt;&gt;"",N117&gt;=Settings!$B$7),MIN(N117*Settings!$B$2,Settings!$B$3),0)</f>
        <v/>
      </c>
      <c r="R117" s="18">
        <f>IF(AND(I117="Won",P117&lt;&gt;""),O117*Settings!$B$4,0)</f>
        <v/>
      </c>
      <c r="S117" s="17" t="n"/>
    </row>
    <row r="118">
      <c r="A118" s="16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6" t="n"/>
      <c r="K118" s="16">
        <f>IF(OR(J118="",I118="Won",I118="Lost",I118="Not a fit",L118="Yes"),"",J118+Settings!$B$8)</f>
        <v/>
      </c>
      <c r="L118" s="17" t="n"/>
      <c r="M118" s="17" t="n"/>
      <c r="N118" s="18" t="n"/>
      <c r="O118" s="18" t="n"/>
      <c r="P118" s="17" t="n"/>
      <c r="Q118" s="18">
        <f>IF(AND(I118="Won",P118&lt;&gt;"",N118&gt;=Settings!$B$7),MIN(N118*Settings!$B$2,Settings!$B$3),0)</f>
        <v/>
      </c>
      <c r="R118" s="18">
        <f>IF(AND(I118="Won",P118&lt;&gt;""),O118*Settings!$B$4,0)</f>
        <v/>
      </c>
      <c r="S118" s="17" t="n"/>
    </row>
    <row r="119">
      <c r="A119" s="16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6" t="n"/>
      <c r="K119" s="16">
        <f>IF(OR(J119="",I119="Won",I119="Lost",I119="Not a fit",L119="Yes"),"",J119+Settings!$B$8)</f>
        <v/>
      </c>
      <c r="L119" s="17" t="n"/>
      <c r="M119" s="17" t="n"/>
      <c r="N119" s="18" t="n"/>
      <c r="O119" s="18" t="n"/>
      <c r="P119" s="17" t="n"/>
      <c r="Q119" s="18">
        <f>IF(AND(I119="Won",P119&lt;&gt;"",N119&gt;=Settings!$B$7),MIN(N119*Settings!$B$2,Settings!$B$3),0)</f>
        <v/>
      </c>
      <c r="R119" s="18">
        <f>IF(AND(I119="Won",P119&lt;&gt;""),O119*Settings!$B$4,0)</f>
        <v/>
      </c>
      <c r="S119" s="17" t="n"/>
    </row>
    <row r="120">
      <c r="A120" s="16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6" t="n"/>
      <c r="K120" s="16">
        <f>IF(OR(J120="",I120="Won",I120="Lost",I120="Not a fit",L120="Yes"),"",J120+Settings!$B$8)</f>
        <v/>
      </c>
      <c r="L120" s="17" t="n"/>
      <c r="M120" s="17" t="n"/>
      <c r="N120" s="18" t="n"/>
      <c r="O120" s="18" t="n"/>
      <c r="P120" s="17" t="n"/>
      <c r="Q120" s="18">
        <f>IF(AND(I120="Won",P120&lt;&gt;"",N120&gt;=Settings!$B$7),MIN(N120*Settings!$B$2,Settings!$B$3),0)</f>
        <v/>
      </c>
      <c r="R120" s="18">
        <f>IF(AND(I120="Won",P120&lt;&gt;""),O120*Settings!$B$4,0)</f>
        <v/>
      </c>
      <c r="S120" s="17" t="n"/>
    </row>
    <row r="121">
      <c r="A121" s="16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6" t="n"/>
      <c r="K121" s="16">
        <f>IF(OR(J121="",I121="Won",I121="Lost",I121="Not a fit",L121="Yes"),"",J121+Settings!$B$8)</f>
        <v/>
      </c>
      <c r="L121" s="17" t="n"/>
      <c r="M121" s="17" t="n"/>
      <c r="N121" s="18" t="n"/>
      <c r="O121" s="18" t="n"/>
      <c r="P121" s="17" t="n"/>
      <c r="Q121" s="18">
        <f>IF(AND(I121="Won",P121&lt;&gt;"",N121&gt;=Settings!$B$7),MIN(N121*Settings!$B$2,Settings!$B$3),0)</f>
        <v/>
      </c>
      <c r="R121" s="18">
        <f>IF(AND(I121="Won",P121&lt;&gt;""),O121*Settings!$B$4,0)</f>
        <v/>
      </c>
      <c r="S121" s="17" t="n"/>
    </row>
    <row r="122">
      <c r="A122" s="16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6" t="n"/>
      <c r="K122" s="16">
        <f>IF(OR(J122="",I122="Won",I122="Lost",I122="Not a fit",L122="Yes"),"",J122+Settings!$B$8)</f>
        <v/>
      </c>
      <c r="L122" s="17" t="n"/>
      <c r="M122" s="17" t="n"/>
      <c r="N122" s="18" t="n"/>
      <c r="O122" s="18" t="n"/>
      <c r="P122" s="17" t="n"/>
      <c r="Q122" s="18">
        <f>IF(AND(I122="Won",P122&lt;&gt;"",N122&gt;=Settings!$B$7),MIN(N122*Settings!$B$2,Settings!$B$3),0)</f>
        <v/>
      </c>
      <c r="R122" s="18">
        <f>IF(AND(I122="Won",P122&lt;&gt;""),O122*Settings!$B$4,0)</f>
        <v/>
      </c>
      <c r="S122" s="17" t="n"/>
    </row>
    <row r="123">
      <c r="A123" s="16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6" t="n"/>
      <c r="K123" s="16">
        <f>IF(OR(J123="",I123="Won",I123="Lost",I123="Not a fit",L123="Yes"),"",J123+Settings!$B$8)</f>
        <v/>
      </c>
      <c r="L123" s="17" t="n"/>
      <c r="M123" s="17" t="n"/>
      <c r="N123" s="18" t="n"/>
      <c r="O123" s="18" t="n"/>
      <c r="P123" s="17" t="n"/>
      <c r="Q123" s="18">
        <f>IF(AND(I123="Won",P123&lt;&gt;"",N123&gt;=Settings!$B$7),MIN(N123*Settings!$B$2,Settings!$B$3),0)</f>
        <v/>
      </c>
      <c r="R123" s="18">
        <f>IF(AND(I123="Won",P123&lt;&gt;""),O123*Settings!$B$4,0)</f>
        <v/>
      </c>
      <c r="S123" s="17" t="n"/>
    </row>
    <row r="124">
      <c r="A124" s="16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6" t="n"/>
      <c r="K124" s="16">
        <f>IF(OR(J124="",I124="Won",I124="Lost",I124="Not a fit",L124="Yes"),"",J124+Settings!$B$8)</f>
        <v/>
      </c>
      <c r="L124" s="17" t="n"/>
      <c r="M124" s="17" t="n"/>
      <c r="N124" s="18" t="n"/>
      <c r="O124" s="18" t="n"/>
      <c r="P124" s="17" t="n"/>
      <c r="Q124" s="18">
        <f>IF(AND(I124="Won",P124&lt;&gt;"",N124&gt;=Settings!$B$7),MIN(N124*Settings!$B$2,Settings!$B$3),0)</f>
        <v/>
      </c>
      <c r="R124" s="18">
        <f>IF(AND(I124="Won",P124&lt;&gt;""),O124*Settings!$B$4,0)</f>
        <v/>
      </c>
      <c r="S124" s="17" t="n"/>
    </row>
    <row r="125">
      <c r="A125" s="16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6" t="n"/>
      <c r="K125" s="16">
        <f>IF(OR(J125="",I125="Won",I125="Lost",I125="Not a fit",L125="Yes"),"",J125+Settings!$B$8)</f>
        <v/>
      </c>
      <c r="L125" s="17" t="n"/>
      <c r="M125" s="17" t="n"/>
      <c r="N125" s="18" t="n"/>
      <c r="O125" s="18" t="n"/>
      <c r="P125" s="17" t="n"/>
      <c r="Q125" s="18">
        <f>IF(AND(I125="Won",P125&lt;&gt;"",N125&gt;=Settings!$B$7),MIN(N125*Settings!$B$2,Settings!$B$3),0)</f>
        <v/>
      </c>
      <c r="R125" s="18">
        <f>IF(AND(I125="Won",P125&lt;&gt;""),O125*Settings!$B$4,0)</f>
        <v/>
      </c>
      <c r="S125" s="17" t="n"/>
    </row>
    <row r="126">
      <c r="A126" s="16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6" t="n"/>
      <c r="K126" s="16">
        <f>IF(OR(J126="",I126="Won",I126="Lost",I126="Not a fit",L126="Yes"),"",J126+Settings!$B$8)</f>
        <v/>
      </c>
      <c r="L126" s="17" t="n"/>
      <c r="M126" s="17" t="n"/>
      <c r="N126" s="18" t="n"/>
      <c r="O126" s="18" t="n"/>
      <c r="P126" s="17" t="n"/>
      <c r="Q126" s="18">
        <f>IF(AND(I126="Won",P126&lt;&gt;"",N126&gt;=Settings!$B$7),MIN(N126*Settings!$B$2,Settings!$B$3),0)</f>
        <v/>
      </c>
      <c r="R126" s="18">
        <f>IF(AND(I126="Won",P126&lt;&gt;""),O126*Settings!$B$4,0)</f>
        <v/>
      </c>
      <c r="S126" s="17" t="n"/>
    </row>
    <row r="127">
      <c r="A127" s="16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6" t="n"/>
      <c r="K127" s="16">
        <f>IF(OR(J127="",I127="Won",I127="Lost",I127="Not a fit",L127="Yes"),"",J127+Settings!$B$8)</f>
        <v/>
      </c>
      <c r="L127" s="17" t="n"/>
      <c r="M127" s="17" t="n"/>
      <c r="N127" s="18" t="n"/>
      <c r="O127" s="18" t="n"/>
      <c r="P127" s="17" t="n"/>
      <c r="Q127" s="18">
        <f>IF(AND(I127="Won",P127&lt;&gt;"",N127&gt;=Settings!$B$7),MIN(N127*Settings!$B$2,Settings!$B$3),0)</f>
        <v/>
      </c>
      <c r="R127" s="18">
        <f>IF(AND(I127="Won",P127&lt;&gt;""),O127*Settings!$B$4,0)</f>
        <v/>
      </c>
      <c r="S127" s="17" t="n"/>
    </row>
    <row r="128">
      <c r="A128" s="16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6" t="n"/>
      <c r="K128" s="16">
        <f>IF(OR(J128="",I128="Won",I128="Lost",I128="Not a fit",L128="Yes"),"",J128+Settings!$B$8)</f>
        <v/>
      </c>
      <c r="L128" s="17" t="n"/>
      <c r="M128" s="17" t="n"/>
      <c r="N128" s="18" t="n"/>
      <c r="O128" s="18" t="n"/>
      <c r="P128" s="17" t="n"/>
      <c r="Q128" s="18">
        <f>IF(AND(I128="Won",P128&lt;&gt;"",N128&gt;=Settings!$B$7),MIN(N128*Settings!$B$2,Settings!$B$3),0)</f>
        <v/>
      </c>
      <c r="R128" s="18">
        <f>IF(AND(I128="Won",P128&lt;&gt;""),O128*Settings!$B$4,0)</f>
        <v/>
      </c>
      <c r="S128" s="17" t="n"/>
    </row>
    <row r="129">
      <c r="A129" s="16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6" t="n"/>
      <c r="K129" s="16">
        <f>IF(OR(J129="",I129="Won",I129="Lost",I129="Not a fit",L129="Yes"),"",J129+Settings!$B$8)</f>
        <v/>
      </c>
      <c r="L129" s="17" t="n"/>
      <c r="M129" s="17" t="n"/>
      <c r="N129" s="18" t="n"/>
      <c r="O129" s="18" t="n"/>
      <c r="P129" s="17" t="n"/>
      <c r="Q129" s="18">
        <f>IF(AND(I129="Won",P129&lt;&gt;"",N129&gt;=Settings!$B$7),MIN(N129*Settings!$B$2,Settings!$B$3),0)</f>
        <v/>
      </c>
      <c r="R129" s="18">
        <f>IF(AND(I129="Won",P129&lt;&gt;""),O129*Settings!$B$4,0)</f>
        <v/>
      </c>
      <c r="S129" s="17" t="n"/>
    </row>
    <row r="130">
      <c r="A130" s="16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6" t="n"/>
      <c r="K130" s="16">
        <f>IF(OR(J130="",I130="Won",I130="Lost",I130="Not a fit",L130="Yes"),"",J130+Settings!$B$8)</f>
        <v/>
      </c>
      <c r="L130" s="17" t="n"/>
      <c r="M130" s="17" t="n"/>
      <c r="N130" s="18" t="n"/>
      <c r="O130" s="18" t="n"/>
      <c r="P130" s="17" t="n"/>
      <c r="Q130" s="18">
        <f>IF(AND(I130="Won",P130&lt;&gt;"",N130&gt;=Settings!$B$7),MIN(N130*Settings!$B$2,Settings!$B$3),0)</f>
        <v/>
      </c>
      <c r="R130" s="18">
        <f>IF(AND(I130="Won",P130&lt;&gt;""),O130*Settings!$B$4,0)</f>
        <v/>
      </c>
      <c r="S130" s="17" t="n"/>
    </row>
    <row r="131">
      <c r="A131" s="16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6" t="n"/>
      <c r="K131" s="16">
        <f>IF(OR(J131="",I131="Won",I131="Lost",I131="Not a fit",L131="Yes"),"",J131+Settings!$B$8)</f>
        <v/>
      </c>
      <c r="L131" s="17" t="n"/>
      <c r="M131" s="17" t="n"/>
      <c r="N131" s="18" t="n"/>
      <c r="O131" s="18" t="n"/>
      <c r="P131" s="17" t="n"/>
      <c r="Q131" s="18">
        <f>IF(AND(I131="Won",P131&lt;&gt;"",N131&gt;=Settings!$B$7),MIN(N131*Settings!$B$2,Settings!$B$3),0)</f>
        <v/>
      </c>
      <c r="R131" s="18">
        <f>IF(AND(I131="Won",P131&lt;&gt;""),O131*Settings!$B$4,0)</f>
        <v/>
      </c>
      <c r="S131" s="17" t="n"/>
    </row>
    <row r="132">
      <c r="A132" s="16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6" t="n"/>
      <c r="K132" s="16">
        <f>IF(OR(J132="",I132="Won",I132="Lost",I132="Not a fit",L132="Yes"),"",J132+Settings!$B$8)</f>
        <v/>
      </c>
      <c r="L132" s="17" t="n"/>
      <c r="M132" s="17" t="n"/>
      <c r="N132" s="18" t="n"/>
      <c r="O132" s="18" t="n"/>
      <c r="P132" s="17" t="n"/>
      <c r="Q132" s="18">
        <f>IF(AND(I132="Won",P132&lt;&gt;"",N132&gt;=Settings!$B$7),MIN(N132*Settings!$B$2,Settings!$B$3),0)</f>
        <v/>
      </c>
      <c r="R132" s="18">
        <f>IF(AND(I132="Won",P132&lt;&gt;""),O132*Settings!$B$4,0)</f>
        <v/>
      </c>
      <c r="S132" s="17" t="n"/>
    </row>
    <row r="133">
      <c r="A133" s="16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6" t="n"/>
      <c r="K133" s="16">
        <f>IF(OR(J133="",I133="Won",I133="Lost",I133="Not a fit",L133="Yes"),"",J133+Settings!$B$8)</f>
        <v/>
      </c>
      <c r="L133" s="17" t="n"/>
      <c r="M133" s="17" t="n"/>
      <c r="N133" s="18" t="n"/>
      <c r="O133" s="18" t="n"/>
      <c r="P133" s="17" t="n"/>
      <c r="Q133" s="18">
        <f>IF(AND(I133="Won",P133&lt;&gt;"",N133&gt;=Settings!$B$7),MIN(N133*Settings!$B$2,Settings!$B$3),0)</f>
        <v/>
      </c>
      <c r="R133" s="18">
        <f>IF(AND(I133="Won",P133&lt;&gt;""),O133*Settings!$B$4,0)</f>
        <v/>
      </c>
      <c r="S133" s="17" t="n"/>
    </row>
    <row r="134">
      <c r="A134" s="16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6" t="n"/>
      <c r="K134" s="16">
        <f>IF(OR(J134="",I134="Won",I134="Lost",I134="Not a fit",L134="Yes"),"",J134+Settings!$B$8)</f>
        <v/>
      </c>
      <c r="L134" s="17" t="n"/>
      <c r="M134" s="17" t="n"/>
      <c r="N134" s="18" t="n"/>
      <c r="O134" s="18" t="n"/>
      <c r="P134" s="17" t="n"/>
      <c r="Q134" s="18">
        <f>IF(AND(I134="Won",P134&lt;&gt;"",N134&gt;=Settings!$B$7),MIN(N134*Settings!$B$2,Settings!$B$3),0)</f>
        <v/>
      </c>
      <c r="R134" s="18">
        <f>IF(AND(I134="Won",P134&lt;&gt;""),O134*Settings!$B$4,0)</f>
        <v/>
      </c>
      <c r="S134" s="17" t="n"/>
    </row>
    <row r="135">
      <c r="A135" s="16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6" t="n"/>
      <c r="K135" s="16">
        <f>IF(OR(J135="",I135="Won",I135="Lost",I135="Not a fit",L135="Yes"),"",J135+Settings!$B$8)</f>
        <v/>
      </c>
      <c r="L135" s="17" t="n"/>
      <c r="M135" s="17" t="n"/>
      <c r="N135" s="18" t="n"/>
      <c r="O135" s="18" t="n"/>
      <c r="P135" s="17" t="n"/>
      <c r="Q135" s="18">
        <f>IF(AND(I135="Won",P135&lt;&gt;"",N135&gt;=Settings!$B$7),MIN(N135*Settings!$B$2,Settings!$B$3),0)</f>
        <v/>
      </c>
      <c r="R135" s="18">
        <f>IF(AND(I135="Won",P135&lt;&gt;""),O135*Settings!$B$4,0)</f>
        <v/>
      </c>
      <c r="S135" s="17" t="n"/>
    </row>
    <row r="136">
      <c r="A136" s="16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6" t="n"/>
      <c r="K136" s="16">
        <f>IF(OR(J136="",I136="Won",I136="Lost",I136="Not a fit",L136="Yes"),"",J136+Settings!$B$8)</f>
        <v/>
      </c>
      <c r="L136" s="17" t="n"/>
      <c r="M136" s="17" t="n"/>
      <c r="N136" s="18" t="n"/>
      <c r="O136" s="18" t="n"/>
      <c r="P136" s="17" t="n"/>
      <c r="Q136" s="18">
        <f>IF(AND(I136="Won",P136&lt;&gt;"",N136&gt;=Settings!$B$7),MIN(N136*Settings!$B$2,Settings!$B$3),0)</f>
        <v/>
      </c>
      <c r="R136" s="18">
        <f>IF(AND(I136="Won",P136&lt;&gt;""),O136*Settings!$B$4,0)</f>
        <v/>
      </c>
      <c r="S136" s="17" t="n"/>
    </row>
    <row r="137">
      <c r="A137" s="16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6" t="n"/>
      <c r="K137" s="16">
        <f>IF(OR(J137="",I137="Won",I137="Lost",I137="Not a fit",L137="Yes"),"",J137+Settings!$B$8)</f>
        <v/>
      </c>
      <c r="L137" s="17" t="n"/>
      <c r="M137" s="17" t="n"/>
      <c r="N137" s="18" t="n"/>
      <c r="O137" s="18" t="n"/>
      <c r="P137" s="17" t="n"/>
      <c r="Q137" s="18">
        <f>IF(AND(I137="Won",P137&lt;&gt;"",N137&gt;=Settings!$B$7),MIN(N137*Settings!$B$2,Settings!$B$3),0)</f>
        <v/>
      </c>
      <c r="R137" s="18">
        <f>IF(AND(I137="Won",P137&lt;&gt;""),O137*Settings!$B$4,0)</f>
        <v/>
      </c>
      <c r="S137" s="17" t="n"/>
    </row>
    <row r="138">
      <c r="A138" s="16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6" t="n"/>
      <c r="K138" s="16">
        <f>IF(OR(J138="",I138="Won",I138="Lost",I138="Not a fit",L138="Yes"),"",J138+Settings!$B$8)</f>
        <v/>
      </c>
      <c r="L138" s="17" t="n"/>
      <c r="M138" s="17" t="n"/>
      <c r="N138" s="18" t="n"/>
      <c r="O138" s="18" t="n"/>
      <c r="P138" s="17" t="n"/>
      <c r="Q138" s="18">
        <f>IF(AND(I138="Won",P138&lt;&gt;"",N138&gt;=Settings!$B$7),MIN(N138*Settings!$B$2,Settings!$B$3),0)</f>
        <v/>
      </c>
      <c r="R138" s="18">
        <f>IF(AND(I138="Won",P138&lt;&gt;""),O138*Settings!$B$4,0)</f>
        <v/>
      </c>
      <c r="S138" s="17" t="n"/>
    </row>
    <row r="139">
      <c r="A139" s="16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6" t="n"/>
      <c r="K139" s="16">
        <f>IF(OR(J139="",I139="Won",I139="Lost",I139="Not a fit",L139="Yes"),"",J139+Settings!$B$8)</f>
        <v/>
      </c>
      <c r="L139" s="17" t="n"/>
      <c r="M139" s="17" t="n"/>
      <c r="N139" s="18" t="n"/>
      <c r="O139" s="18" t="n"/>
      <c r="P139" s="17" t="n"/>
      <c r="Q139" s="18">
        <f>IF(AND(I139="Won",P139&lt;&gt;"",N139&gt;=Settings!$B$7),MIN(N139*Settings!$B$2,Settings!$B$3),0)</f>
        <v/>
      </c>
      <c r="R139" s="18">
        <f>IF(AND(I139="Won",P139&lt;&gt;""),O139*Settings!$B$4,0)</f>
        <v/>
      </c>
      <c r="S139" s="17" t="n"/>
    </row>
    <row r="140">
      <c r="A140" s="16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6" t="n"/>
      <c r="K140" s="16">
        <f>IF(OR(J140="",I140="Won",I140="Lost",I140="Not a fit",L140="Yes"),"",J140+Settings!$B$8)</f>
        <v/>
      </c>
      <c r="L140" s="17" t="n"/>
      <c r="M140" s="17" t="n"/>
      <c r="N140" s="18" t="n"/>
      <c r="O140" s="18" t="n"/>
      <c r="P140" s="17" t="n"/>
      <c r="Q140" s="18">
        <f>IF(AND(I140="Won",P140&lt;&gt;"",N140&gt;=Settings!$B$7),MIN(N140*Settings!$B$2,Settings!$B$3),0)</f>
        <v/>
      </c>
      <c r="R140" s="18">
        <f>IF(AND(I140="Won",P140&lt;&gt;""),O140*Settings!$B$4,0)</f>
        <v/>
      </c>
      <c r="S140" s="17" t="n"/>
    </row>
    <row r="141">
      <c r="A141" s="16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6" t="n"/>
      <c r="K141" s="16">
        <f>IF(OR(J141="",I141="Won",I141="Lost",I141="Not a fit",L141="Yes"),"",J141+Settings!$B$8)</f>
        <v/>
      </c>
      <c r="L141" s="17" t="n"/>
      <c r="M141" s="17" t="n"/>
      <c r="N141" s="18" t="n"/>
      <c r="O141" s="18" t="n"/>
      <c r="P141" s="17" t="n"/>
      <c r="Q141" s="18">
        <f>IF(AND(I141="Won",P141&lt;&gt;"",N141&gt;=Settings!$B$7),MIN(N141*Settings!$B$2,Settings!$B$3),0)</f>
        <v/>
      </c>
      <c r="R141" s="18">
        <f>IF(AND(I141="Won",P141&lt;&gt;""),O141*Settings!$B$4,0)</f>
        <v/>
      </c>
      <c r="S141" s="17" t="n"/>
    </row>
    <row r="142">
      <c r="A142" s="16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6" t="n"/>
      <c r="K142" s="16">
        <f>IF(OR(J142="",I142="Won",I142="Lost",I142="Not a fit",L142="Yes"),"",J142+Settings!$B$8)</f>
        <v/>
      </c>
      <c r="L142" s="17" t="n"/>
      <c r="M142" s="17" t="n"/>
      <c r="N142" s="18" t="n"/>
      <c r="O142" s="18" t="n"/>
      <c r="P142" s="17" t="n"/>
      <c r="Q142" s="18">
        <f>IF(AND(I142="Won",P142&lt;&gt;"",N142&gt;=Settings!$B$7),MIN(N142*Settings!$B$2,Settings!$B$3),0)</f>
        <v/>
      </c>
      <c r="R142" s="18">
        <f>IF(AND(I142="Won",P142&lt;&gt;""),O142*Settings!$B$4,0)</f>
        <v/>
      </c>
      <c r="S142" s="17" t="n"/>
    </row>
    <row r="143">
      <c r="A143" s="16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6" t="n"/>
      <c r="K143" s="16">
        <f>IF(OR(J143="",I143="Won",I143="Lost",I143="Not a fit",L143="Yes"),"",J143+Settings!$B$8)</f>
        <v/>
      </c>
      <c r="L143" s="17" t="n"/>
      <c r="M143" s="17" t="n"/>
      <c r="N143" s="18" t="n"/>
      <c r="O143" s="18" t="n"/>
      <c r="P143" s="17" t="n"/>
      <c r="Q143" s="18">
        <f>IF(AND(I143="Won",P143&lt;&gt;"",N143&gt;=Settings!$B$7),MIN(N143*Settings!$B$2,Settings!$B$3),0)</f>
        <v/>
      </c>
      <c r="R143" s="18">
        <f>IF(AND(I143="Won",P143&lt;&gt;""),O143*Settings!$B$4,0)</f>
        <v/>
      </c>
      <c r="S143" s="17" t="n"/>
    </row>
    <row r="144">
      <c r="A144" s="16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6" t="n"/>
      <c r="K144" s="16">
        <f>IF(OR(J144="",I144="Won",I144="Lost",I144="Not a fit",L144="Yes"),"",J144+Settings!$B$8)</f>
        <v/>
      </c>
      <c r="L144" s="17" t="n"/>
      <c r="M144" s="17" t="n"/>
      <c r="N144" s="18" t="n"/>
      <c r="O144" s="18" t="n"/>
      <c r="P144" s="17" t="n"/>
      <c r="Q144" s="18">
        <f>IF(AND(I144="Won",P144&lt;&gt;"",N144&gt;=Settings!$B$7),MIN(N144*Settings!$B$2,Settings!$B$3),0)</f>
        <v/>
      </c>
      <c r="R144" s="18">
        <f>IF(AND(I144="Won",P144&lt;&gt;""),O144*Settings!$B$4,0)</f>
        <v/>
      </c>
      <c r="S144" s="17" t="n"/>
    </row>
    <row r="145">
      <c r="A145" s="16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6" t="n"/>
      <c r="K145" s="16">
        <f>IF(OR(J145="",I145="Won",I145="Lost",I145="Not a fit",L145="Yes"),"",J145+Settings!$B$8)</f>
        <v/>
      </c>
      <c r="L145" s="17" t="n"/>
      <c r="M145" s="17" t="n"/>
      <c r="N145" s="18" t="n"/>
      <c r="O145" s="18" t="n"/>
      <c r="P145" s="17" t="n"/>
      <c r="Q145" s="18">
        <f>IF(AND(I145="Won",P145&lt;&gt;"",N145&gt;=Settings!$B$7),MIN(N145*Settings!$B$2,Settings!$B$3),0)</f>
        <v/>
      </c>
      <c r="R145" s="18">
        <f>IF(AND(I145="Won",P145&lt;&gt;""),O145*Settings!$B$4,0)</f>
        <v/>
      </c>
      <c r="S145" s="17" t="n"/>
    </row>
    <row r="146">
      <c r="A146" s="16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6" t="n"/>
      <c r="K146" s="16">
        <f>IF(OR(J146="",I146="Won",I146="Lost",I146="Not a fit",L146="Yes"),"",J146+Settings!$B$8)</f>
        <v/>
      </c>
      <c r="L146" s="17" t="n"/>
      <c r="M146" s="17" t="n"/>
      <c r="N146" s="18" t="n"/>
      <c r="O146" s="18" t="n"/>
      <c r="P146" s="17" t="n"/>
      <c r="Q146" s="18">
        <f>IF(AND(I146="Won",P146&lt;&gt;"",N146&gt;=Settings!$B$7),MIN(N146*Settings!$B$2,Settings!$B$3),0)</f>
        <v/>
      </c>
      <c r="R146" s="18">
        <f>IF(AND(I146="Won",P146&lt;&gt;""),O146*Settings!$B$4,0)</f>
        <v/>
      </c>
      <c r="S146" s="17" t="n"/>
    </row>
    <row r="147">
      <c r="A147" s="16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6" t="n"/>
      <c r="K147" s="16">
        <f>IF(OR(J147="",I147="Won",I147="Lost",I147="Not a fit",L147="Yes"),"",J147+Settings!$B$8)</f>
        <v/>
      </c>
      <c r="L147" s="17" t="n"/>
      <c r="M147" s="17" t="n"/>
      <c r="N147" s="18" t="n"/>
      <c r="O147" s="18" t="n"/>
      <c r="P147" s="17" t="n"/>
      <c r="Q147" s="18">
        <f>IF(AND(I147="Won",P147&lt;&gt;"",N147&gt;=Settings!$B$7),MIN(N147*Settings!$B$2,Settings!$B$3),0)</f>
        <v/>
      </c>
      <c r="R147" s="18">
        <f>IF(AND(I147="Won",P147&lt;&gt;""),O147*Settings!$B$4,0)</f>
        <v/>
      </c>
      <c r="S147" s="17" t="n"/>
    </row>
    <row r="148">
      <c r="A148" s="16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6" t="n"/>
      <c r="K148" s="16">
        <f>IF(OR(J148="",I148="Won",I148="Lost",I148="Not a fit",L148="Yes"),"",J148+Settings!$B$8)</f>
        <v/>
      </c>
      <c r="L148" s="17" t="n"/>
      <c r="M148" s="17" t="n"/>
      <c r="N148" s="18" t="n"/>
      <c r="O148" s="18" t="n"/>
      <c r="P148" s="17" t="n"/>
      <c r="Q148" s="18">
        <f>IF(AND(I148="Won",P148&lt;&gt;"",N148&gt;=Settings!$B$7),MIN(N148*Settings!$B$2,Settings!$B$3),0)</f>
        <v/>
      </c>
      <c r="R148" s="18">
        <f>IF(AND(I148="Won",P148&lt;&gt;""),O148*Settings!$B$4,0)</f>
        <v/>
      </c>
      <c r="S148" s="17" t="n"/>
    </row>
    <row r="149">
      <c r="A149" s="16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6" t="n"/>
      <c r="K149" s="16">
        <f>IF(OR(J149="",I149="Won",I149="Lost",I149="Not a fit",L149="Yes"),"",J149+Settings!$B$8)</f>
        <v/>
      </c>
      <c r="L149" s="17" t="n"/>
      <c r="M149" s="17" t="n"/>
      <c r="N149" s="18" t="n"/>
      <c r="O149" s="18" t="n"/>
      <c r="P149" s="17" t="n"/>
      <c r="Q149" s="18">
        <f>IF(AND(I149="Won",P149&lt;&gt;"",N149&gt;=Settings!$B$7),MIN(N149*Settings!$B$2,Settings!$B$3),0)</f>
        <v/>
      </c>
      <c r="R149" s="18">
        <f>IF(AND(I149="Won",P149&lt;&gt;""),O149*Settings!$B$4,0)</f>
        <v/>
      </c>
      <c r="S149" s="17" t="n"/>
    </row>
    <row r="150">
      <c r="A150" s="16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6" t="n"/>
      <c r="K150" s="16">
        <f>IF(OR(J150="",I150="Won",I150="Lost",I150="Not a fit",L150="Yes"),"",J150+Settings!$B$8)</f>
        <v/>
      </c>
      <c r="L150" s="17" t="n"/>
      <c r="M150" s="17" t="n"/>
      <c r="N150" s="18" t="n"/>
      <c r="O150" s="18" t="n"/>
      <c r="P150" s="17" t="n"/>
      <c r="Q150" s="18">
        <f>IF(AND(I150="Won",P150&lt;&gt;"",N150&gt;=Settings!$B$7),MIN(N150*Settings!$B$2,Settings!$B$3),0)</f>
        <v/>
      </c>
      <c r="R150" s="18">
        <f>IF(AND(I150="Won",P150&lt;&gt;""),O150*Settings!$B$4,0)</f>
        <v/>
      </c>
      <c r="S150" s="17" t="n"/>
    </row>
    <row r="151">
      <c r="A151" s="16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6" t="n"/>
      <c r="K151" s="16">
        <f>IF(OR(J151="",I151="Won",I151="Lost",I151="Not a fit",L151="Yes"),"",J151+Settings!$B$8)</f>
        <v/>
      </c>
      <c r="L151" s="17" t="n"/>
      <c r="M151" s="17" t="n"/>
      <c r="N151" s="18" t="n"/>
      <c r="O151" s="18" t="n"/>
      <c r="P151" s="17" t="n"/>
      <c r="Q151" s="18">
        <f>IF(AND(I151="Won",P151&lt;&gt;"",N151&gt;=Settings!$B$7),MIN(N151*Settings!$B$2,Settings!$B$3),0)</f>
        <v/>
      </c>
      <c r="R151" s="18">
        <f>IF(AND(I151="Won",P151&lt;&gt;""),O151*Settings!$B$4,0)</f>
        <v/>
      </c>
      <c r="S151" s="17" t="n"/>
    </row>
    <row r="152">
      <c r="A152" s="16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6" t="n"/>
      <c r="K152" s="16">
        <f>IF(OR(J152="",I152="Won",I152="Lost",I152="Not a fit",L152="Yes"),"",J152+Settings!$B$8)</f>
        <v/>
      </c>
      <c r="L152" s="17" t="n"/>
      <c r="M152" s="17" t="n"/>
      <c r="N152" s="18" t="n"/>
      <c r="O152" s="18" t="n"/>
      <c r="P152" s="17" t="n"/>
      <c r="Q152" s="18">
        <f>IF(AND(I152="Won",P152&lt;&gt;"",N152&gt;=Settings!$B$7),MIN(N152*Settings!$B$2,Settings!$B$3),0)</f>
        <v/>
      </c>
      <c r="R152" s="18">
        <f>IF(AND(I152="Won",P152&lt;&gt;""),O152*Settings!$B$4,0)</f>
        <v/>
      </c>
      <c r="S152" s="17" t="n"/>
    </row>
    <row r="153">
      <c r="A153" s="16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6" t="n"/>
      <c r="K153" s="16">
        <f>IF(OR(J153="",I153="Won",I153="Lost",I153="Not a fit",L153="Yes"),"",J153+Settings!$B$8)</f>
        <v/>
      </c>
      <c r="L153" s="17" t="n"/>
      <c r="M153" s="17" t="n"/>
      <c r="N153" s="18" t="n"/>
      <c r="O153" s="18" t="n"/>
      <c r="P153" s="17" t="n"/>
      <c r="Q153" s="18">
        <f>IF(AND(I153="Won",P153&lt;&gt;"",N153&gt;=Settings!$B$7),MIN(N153*Settings!$B$2,Settings!$B$3),0)</f>
        <v/>
      </c>
      <c r="R153" s="18">
        <f>IF(AND(I153="Won",P153&lt;&gt;""),O153*Settings!$B$4,0)</f>
        <v/>
      </c>
      <c r="S153" s="17" t="n"/>
    </row>
    <row r="154">
      <c r="A154" s="16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6" t="n"/>
      <c r="K154" s="16">
        <f>IF(OR(J154="",I154="Won",I154="Lost",I154="Not a fit",L154="Yes"),"",J154+Settings!$B$8)</f>
        <v/>
      </c>
      <c r="L154" s="17" t="n"/>
      <c r="M154" s="17" t="n"/>
      <c r="N154" s="18" t="n"/>
      <c r="O154" s="18" t="n"/>
      <c r="P154" s="17" t="n"/>
      <c r="Q154" s="18">
        <f>IF(AND(I154="Won",P154&lt;&gt;"",N154&gt;=Settings!$B$7),MIN(N154*Settings!$B$2,Settings!$B$3),0)</f>
        <v/>
      </c>
      <c r="R154" s="18">
        <f>IF(AND(I154="Won",P154&lt;&gt;""),O154*Settings!$B$4,0)</f>
        <v/>
      </c>
      <c r="S154" s="17" t="n"/>
    </row>
    <row r="155">
      <c r="A155" s="16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6" t="n"/>
      <c r="K155" s="16">
        <f>IF(OR(J155="",I155="Won",I155="Lost",I155="Not a fit",L155="Yes"),"",J155+Settings!$B$8)</f>
        <v/>
      </c>
      <c r="L155" s="17" t="n"/>
      <c r="M155" s="17" t="n"/>
      <c r="N155" s="18" t="n"/>
      <c r="O155" s="18" t="n"/>
      <c r="P155" s="17" t="n"/>
      <c r="Q155" s="18">
        <f>IF(AND(I155="Won",P155&lt;&gt;"",N155&gt;=Settings!$B$7),MIN(N155*Settings!$B$2,Settings!$B$3),0)</f>
        <v/>
      </c>
      <c r="R155" s="18">
        <f>IF(AND(I155="Won",P155&lt;&gt;""),O155*Settings!$B$4,0)</f>
        <v/>
      </c>
      <c r="S155" s="17" t="n"/>
    </row>
    <row r="156">
      <c r="A156" s="16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6" t="n"/>
      <c r="K156" s="16">
        <f>IF(OR(J156="",I156="Won",I156="Lost",I156="Not a fit",L156="Yes"),"",J156+Settings!$B$8)</f>
        <v/>
      </c>
      <c r="L156" s="17" t="n"/>
      <c r="M156" s="17" t="n"/>
      <c r="N156" s="18" t="n"/>
      <c r="O156" s="18" t="n"/>
      <c r="P156" s="17" t="n"/>
      <c r="Q156" s="18">
        <f>IF(AND(I156="Won",P156&lt;&gt;"",N156&gt;=Settings!$B$7),MIN(N156*Settings!$B$2,Settings!$B$3),0)</f>
        <v/>
      </c>
      <c r="R156" s="18">
        <f>IF(AND(I156="Won",P156&lt;&gt;""),O156*Settings!$B$4,0)</f>
        <v/>
      </c>
      <c r="S156" s="17" t="n"/>
    </row>
    <row r="157">
      <c r="A157" s="16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6" t="n"/>
      <c r="K157" s="16">
        <f>IF(OR(J157="",I157="Won",I157="Lost",I157="Not a fit",L157="Yes"),"",J157+Settings!$B$8)</f>
        <v/>
      </c>
      <c r="L157" s="17" t="n"/>
      <c r="M157" s="17" t="n"/>
      <c r="N157" s="18" t="n"/>
      <c r="O157" s="18" t="n"/>
      <c r="P157" s="17" t="n"/>
      <c r="Q157" s="18">
        <f>IF(AND(I157="Won",P157&lt;&gt;"",N157&gt;=Settings!$B$7),MIN(N157*Settings!$B$2,Settings!$B$3),0)</f>
        <v/>
      </c>
      <c r="R157" s="18">
        <f>IF(AND(I157="Won",P157&lt;&gt;""),O157*Settings!$B$4,0)</f>
        <v/>
      </c>
      <c r="S157" s="17" t="n"/>
    </row>
    <row r="158">
      <c r="A158" s="16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6" t="n"/>
      <c r="K158" s="16">
        <f>IF(OR(J158="",I158="Won",I158="Lost",I158="Not a fit",L158="Yes"),"",J158+Settings!$B$8)</f>
        <v/>
      </c>
      <c r="L158" s="17" t="n"/>
      <c r="M158" s="17" t="n"/>
      <c r="N158" s="18" t="n"/>
      <c r="O158" s="18" t="n"/>
      <c r="P158" s="17" t="n"/>
      <c r="Q158" s="18">
        <f>IF(AND(I158="Won",P158&lt;&gt;"",N158&gt;=Settings!$B$7),MIN(N158*Settings!$B$2,Settings!$B$3),0)</f>
        <v/>
      </c>
      <c r="R158" s="18">
        <f>IF(AND(I158="Won",P158&lt;&gt;""),O158*Settings!$B$4,0)</f>
        <v/>
      </c>
      <c r="S158" s="17" t="n"/>
    </row>
    <row r="159">
      <c r="A159" s="16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6" t="n"/>
      <c r="K159" s="16">
        <f>IF(OR(J159="",I159="Won",I159="Lost",I159="Not a fit",L159="Yes"),"",J159+Settings!$B$8)</f>
        <v/>
      </c>
      <c r="L159" s="17" t="n"/>
      <c r="M159" s="17" t="n"/>
      <c r="N159" s="18" t="n"/>
      <c r="O159" s="18" t="n"/>
      <c r="P159" s="17" t="n"/>
      <c r="Q159" s="18">
        <f>IF(AND(I159="Won",P159&lt;&gt;"",N159&gt;=Settings!$B$7),MIN(N159*Settings!$B$2,Settings!$B$3),0)</f>
        <v/>
      </c>
      <c r="R159" s="18">
        <f>IF(AND(I159="Won",P159&lt;&gt;""),O159*Settings!$B$4,0)</f>
        <v/>
      </c>
      <c r="S159" s="17" t="n"/>
    </row>
    <row r="160">
      <c r="A160" s="16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6" t="n"/>
      <c r="K160" s="16">
        <f>IF(OR(J160="",I160="Won",I160="Lost",I160="Not a fit",L160="Yes"),"",J160+Settings!$B$8)</f>
        <v/>
      </c>
      <c r="L160" s="17" t="n"/>
      <c r="M160" s="17" t="n"/>
      <c r="N160" s="18" t="n"/>
      <c r="O160" s="18" t="n"/>
      <c r="P160" s="17" t="n"/>
      <c r="Q160" s="18">
        <f>IF(AND(I160="Won",P160&lt;&gt;"",N160&gt;=Settings!$B$7),MIN(N160*Settings!$B$2,Settings!$B$3),0)</f>
        <v/>
      </c>
      <c r="R160" s="18">
        <f>IF(AND(I160="Won",P160&lt;&gt;""),O160*Settings!$B$4,0)</f>
        <v/>
      </c>
      <c r="S160" s="17" t="n"/>
    </row>
    <row r="161">
      <c r="A161" s="16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6" t="n"/>
      <c r="K161" s="16">
        <f>IF(OR(J161="",I161="Won",I161="Lost",I161="Not a fit",L161="Yes"),"",J161+Settings!$B$8)</f>
        <v/>
      </c>
      <c r="L161" s="17" t="n"/>
      <c r="M161" s="17" t="n"/>
      <c r="N161" s="18" t="n"/>
      <c r="O161" s="18" t="n"/>
      <c r="P161" s="17" t="n"/>
      <c r="Q161" s="18">
        <f>IF(AND(I161="Won",P161&lt;&gt;"",N161&gt;=Settings!$B$7),MIN(N161*Settings!$B$2,Settings!$B$3),0)</f>
        <v/>
      </c>
      <c r="R161" s="18">
        <f>IF(AND(I161="Won",P161&lt;&gt;""),O161*Settings!$B$4,0)</f>
        <v/>
      </c>
      <c r="S161" s="17" t="n"/>
    </row>
    <row r="162">
      <c r="A162" s="16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6" t="n"/>
      <c r="K162" s="16">
        <f>IF(OR(J162="",I162="Won",I162="Lost",I162="Not a fit",L162="Yes"),"",J162+Settings!$B$8)</f>
        <v/>
      </c>
      <c r="L162" s="17" t="n"/>
      <c r="M162" s="17" t="n"/>
      <c r="N162" s="18" t="n"/>
      <c r="O162" s="18" t="n"/>
      <c r="P162" s="17" t="n"/>
      <c r="Q162" s="18">
        <f>IF(AND(I162="Won",P162&lt;&gt;"",N162&gt;=Settings!$B$7),MIN(N162*Settings!$B$2,Settings!$B$3),0)</f>
        <v/>
      </c>
      <c r="R162" s="18">
        <f>IF(AND(I162="Won",P162&lt;&gt;""),O162*Settings!$B$4,0)</f>
        <v/>
      </c>
      <c r="S162" s="17" t="n"/>
    </row>
    <row r="163">
      <c r="A163" s="16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6" t="n"/>
      <c r="K163" s="16">
        <f>IF(OR(J163="",I163="Won",I163="Lost",I163="Not a fit",L163="Yes"),"",J163+Settings!$B$8)</f>
        <v/>
      </c>
      <c r="L163" s="17" t="n"/>
      <c r="M163" s="17" t="n"/>
      <c r="N163" s="18" t="n"/>
      <c r="O163" s="18" t="n"/>
      <c r="P163" s="17" t="n"/>
      <c r="Q163" s="18">
        <f>IF(AND(I163="Won",P163&lt;&gt;"",N163&gt;=Settings!$B$7),MIN(N163*Settings!$B$2,Settings!$B$3),0)</f>
        <v/>
      </c>
      <c r="R163" s="18">
        <f>IF(AND(I163="Won",P163&lt;&gt;""),O163*Settings!$B$4,0)</f>
        <v/>
      </c>
      <c r="S163" s="17" t="n"/>
    </row>
    <row r="164">
      <c r="A164" s="16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6" t="n"/>
      <c r="K164" s="16">
        <f>IF(OR(J164="",I164="Won",I164="Lost",I164="Not a fit",L164="Yes"),"",J164+Settings!$B$8)</f>
        <v/>
      </c>
      <c r="L164" s="17" t="n"/>
      <c r="M164" s="17" t="n"/>
      <c r="N164" s="18" t="n"/>
      <c r="O164" s="18" t="n"/>
      <c r="P164" s="17" t="n"/>
      <c r="Q164" s="18">
        <f>IF(AND(I164="Won",P164&lt;&gt;"",N164&gt;=Settings!$B$7),MIN(N164*Settings!$B$2,Settings!$B$3),0)</f>
        <v/>
      </c>
      <c r="R164" s="18">
        <f>IF(AND(I164="Won",P164&lt;&gt;""),O164*Settings!$B$4,0)</f>
        <v/>
      </c>
      <c r="S164" s="17" t="n"/>
    </row>
    <row r="165">
      <c r="A165" s="16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6" t="n"/>
      <c r="K165" s="16">
        <f>IF(OR(J165="",I165="Won",I165="Lost",I165="Not a fit",L165="Yes"),"",J165+Settings!$B$8)</f>
        <v/>
      </c>
      <c r="L165" s="17" t="n"/>
      <c r="M165" s="17" t="n"/>
      <c r="N165" s="18" t="n"/>
      <c r="O165" s="18" t="n"/>
      <c r="P165" s="17" t="n"/>
      <c r="Q165" s="18">
        <f>IF(AND(I165="Won",P165&lt;&gt;"",N165&gt;=Settings!$B$7),MIN(N165*Settings!$B$2,Settings!$B$3),0)</f>
        <v/>
      </c>
      <c r="R165" s="18">
        <f>IF(AND(I165="Won",P165&lt;&gt;""),O165*Settings!$B$4,0)</f>
        <v/>
      </c>
      <c r="S165" s="17" t="n"/>
    </row>
    <row r="166">
      <c r="A166" s="16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6" t="n"/>
      <c r="K166" s="16">
        <f>IF(OR(J166="",I166="Won",I166="Lost",I166="Not a fit",L166="Yes"),"",J166+Settings!$B$8)</f>
        <v/>
      </c>
      <c r="L166" s="17" t="n"/>
      <c r="M166" s="17" t="n"/>
      <c r="N166" s="18" t="n"/>
      <c r="O166" s="18" t="n"/>
      <c r="P166" s="17" t="n"/>
      <c r="Q166" s="18">
        <f>IF(AND(I166="Won",P166&lt;&gt;"",N166&gt;=Settings!$B$7),MIN(N166*Settings!$B$2,Settings!$B$3),0)</f>
        <v/>
      </c>
      <c r="R166" s="18">
        <f>IF(AND(I166="Won",P166&lt;&gt;""),O166*Settings!$B$4,0)</f>
        <v/>
      </c>
      <c r="S166" s="17" t="n"/>
    </row>
    <row r="167">
      <c r="A167" s="16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6" t="n"/>
      <c r="K167" s="16">
        <f>IF(OR(J167="",I167="Won",I167="Lost",I167="Not a fit",L167="Yes"),"",J167+Settings!$B$8)</f>
        <v/>
      </c>
      <c r="L167" s="17" t="n"/>
      <c r="M167" s="17" t="n"/>
      <c r="N167" s="18" t="n"/>
      <c r="O167" s="18" t="n"/>
      <c r="P167" s="17" t="n"/>
      <c r="Q167" s="18">
        <f>IF(AND(I167="Won",P167&lt;&gt;"",N167&gt;=Settings!$B$7),MIN(N167*Settings!$B$2,Settings!$B$3),0)</f>
        <v/>
      </c>
      <c r="R167" s="18">
        <f>IF(AND(I167="Won",P167&lt;&gt;""),O167*Settings!$B$4,0)</f>
        <v/>
      </c>
      <c r="S167" s="17" t="n"/>
    </row>
    <row r="168">
      <c r="A168" s="16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6" t="n"/>
      <c r="K168" s="16">
        <f>IF(OR(J168="",I168="Won",I168="Lost",I168="Not a fit",L168="Yes"),"",J168+Settings!$B$8)</f>
        <v/>
      </c>
      <c r="L168" s="17" t="n"/>
      <c r="M168" s="17" t="n"/>
      <c r="N168" s="18" t="n"/>
      <c r="O168" s="18" t="n"/>
      <c r="P168" s="17" t="n"/>
      <c r="Q168" s="18">
        <f>IF(AND(I168="Won",P168&lt;&gt;"",N168&gt;=Settings!$B$7),MIN(N168*Settings!$B$2,Settings!$B$3),0)</f>
        <v/>
      </c>
      <c r="R168" s="18">
        <f>IF(AND(I168="Won",P168&lt;&gt;""),O168*Settings!$B$4,0)</f>
        <v/>
      </c>
      <c r="S168" s="17" t="n"/>
    </row>
    <row r="169">
      <c r="A169" s="16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6" t="n"/>
      <c r="K169" s="16">
        <f>IF(OR(J169="",I169="Won",I169="Lost",I169="Not a fit",L169="Yes"),"",J169+Settings!$B$8)</f>
        <v/>
      </c>
      <c r="L169" s="17" t="n"/>
      <c r="M169" s="17" t="n"/>
      <c r="N169" s="18" t="n"/>
      <c r="O169" s="18" t="n"/>
      <c r="P169" s="17" t="n"/>
      <c r="Q169" s="18">
        <f>IF(AND(I169="Won",P169&lt;&gt;"",N169&gt;=Settings!$B$7),MIN(N169*Settings!$B$2,Settings!$B$3),0)</f>
        <v/>
      </c>
      <c r="R169" s="18">
        <f>IF(AND(I169="Won",P169&lt;&gt;""),O169*Settings!$B$4,0)</f>
        <v/>
      </c>
      <c r="S169" s="17" t="n"/>
    </row>
    <row r="170">
      <c r="A170" s="16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6" t="n"/>
      <c r="K170" s="16">
        <f>IF(OR(J170="",I170="Won",I170="Lost",I170="Not a fit",L170="Yes"),"",J170+Settings!$B$8)</f>
        <v/>
      </c>
      <c r="L170" s="17" t="n"/>
      <c r="M170" s="17" t="n"/>
      <c r="N170" s="18" t="n"/>
      <c r="O170" s="18" t="n"/>
      <c r="P170" s="17" t="n"/>
      <c r="Q170" s="18">
        <f>IF(AND(I170="Won",P170&lt;&gt;"",N170&gt;=Settings!$B$7),MIN(N170*Settings!$B$2,Settings!$B$3),0)</f>
        <v/>
      </c>
      <c r="R170" s="18">
        <f>IF(AND(I170="Won",P170&lt;&gt;""),O170*Settings!$B$4,0)</f>
        <v/>
      </c>
      <c r="S170" s="17" t="n"/>
    </row>
    <row r="171">
      <c r="A171" s="16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6" t="n"/>
      <c r="K171" s="16">
        <f>IF(OR(J171="",I171="Won",I171="Lost",I171="Not a fit",L171="Yes"),"",J171+Settings!$B$8)</f>
        <v/>
      </c>
      <c r="L171" s="17" t="n"/>
      <c r="M171" s="17" t="n"/>
      <c r="N171" s="18" t="n"/>
      <c r="O171" s="18" t="n"/>
      <c r="P171" s="17" t="n"/>
      <c r="Q171" s="18">
        <f>IF(AND(I171="Won",P171&lt;&gt;"",N171&gt;=Settings!$B$7),MIN(N171*Settings!$B$2,Settings!$B$3),0)</f>
        <v/>
      </c>
      <c r="R171" s="18">
        <f>IF(AND(I171="Won",P171&lt;&gt;""),O171*Settings!$B$4,0)</f>
        <v/>
      </c>
      <c r="S171" s="17" t="n"/>
    </row>
    <row r="172">
      <c r="A172" s="16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6" t="n"/>
      <c r="K172" s="16">
        <f>IF(OR(J172="",I172="Won",I172="Lost",I172="Not a fit",L172="Yes"),"",J172+Settings!$B$8)</f>
        <v/>
      </c>
      <c r="L172" s="17" t="n"/>
      <c r="M172" s="17" t="n"/>
      <c r="N172" s="18" t="n"/>
      <c r="O172" s="18" t="n"/>
      <c r="P172" s="17" t="n"/>
      <c r="Q172" s="18">
        <f>IF(AND(I172="Won",P172&lt;&gt;"",N172&gt;=Settings!$B$7),MIN(N172*Settings!$B$2,Settings!$B$3),0)</f>
        <v/>
      </c>
      <c r="R172" s="18">
        <f>IF(AND(I172="Won",P172&lt;&gt;""),O172*Settings!$B$4,0)</f>
        <v/>
      </c>
      <c r="S172" s="17" t="n"/>
    </row>
    <row r="173">
      <c r="A173" s="16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6" t="n"/>
      <c r="K173" s="16">
        <f>IF(OR(J173="",I173="Won",I173="Lost",I173="Not a fit",L173="Yes"),"",J173+Settings!$B$8)</f>
        <v/>
      </c>
      <c r="L173" s="17" t="n"/>
      <c r="M173" s="17" t="n"/>
      <c r="N173" s="18" t="n"/>
      <c r="O173" s="18" t="n"/>
      <c r="P173" s="17" t="n"/>
      <c r="Q173" s="18">
        <f>IF(AND(I173="Won",P173&lt;&gt;"",N173&gt;=Settings!$B$7),MIN(N173*Settings!$B$2,Settings!$B$3),0)</f>
        <v/>
      </c>
      <c r="R173" s="18">
        <f>IF(AND(I173="Won",P173&lt;&gt;""),O173*Settings!$B$4,0)</f>
        <v/>
      </c>
      <c r="S173" s="17" t="n"/>
    </row>
    <row r="174">
      <c r="A174" s="16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6" t="n"/>
      <c r="K174" s="16">
        <f>IF(OR(J174="",I174="Won",I174="Lost",I174="Not a fit",L174="Yes"),"",J174+Settings!$B$8)</f>
        <v/>
      </c>
      <c r="L174" s="17" t="n"/>
      <c r="M174" s="17" t="n"/>
      <c r="N174" s="18" t="n"/>
      <c r="O174" s="18" t="n"/>
      <c r="P174" s="17" t="n"/>
      <c r="Q174" s="18">
        <f>IF(AND(I174="Won",P174&lt;&gt;"",N174&gt;=Settings!$B$7),MIN(N174*Settings!$B$2,Settings!$B$3),0)</f>
        <v/>
      </c>
      <c r="R174" s="18">
        <f>IF(AND(I174="Won",P174&lt;&gt;""),O174*Settings!$B$4,0)</f>
        <v/>
      </c>
      <c r="S174" s="17" t="n"/>
    </row>
    <row r="175">
      <c r="A175" s="16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6" t="n"/>
      <c r="K175" s="16">
        <f>IF(OR(J175="",I175="Won",I175="Lost",I175="Not a fit",L175="Yes"),"",J175+Settings!$B$8)</f>
        <v/>
      </c>
      <c r="L175" s="17" t="n"/>
      <c r="M175" s="17" t="n"/>
      <c r="N175" s="18" t="n"/>
      <c r="O175" s="18" t="n"/>
      <c r="P175" s="17" t="n"/>
      <c r="Q175" s="18">
        <f>IF(AND(I175="Won",P175&lt;&gt;"",N175&gt;=Settings!$B$7),MIN(N175*Settings!$B$2,Settings!$B$3),0)</f>
        <v/>
      </c>
      <c r="R175" s="18">
        <f>IF(AND(I175="Won",P175&lt;&gt;""),O175*Settings!$B$4,0)</f>
        <v/>
      </c>
      <c r="S175" s="17" t="n"/>
    </row>
    <row r="176">
      <c r="A176" s="16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6" t="n"/>
      <c r="K176" s="16">
        <f>IF(OR(J176="",I176="Won",I176="Lost",I176="Not a fit",L176="Yes"),"",J176+Settings!$B$8)</f>
        <v/>
      </c>
      <c r="L176" s="17" t="n"/>
      <c r="M176" s="17" t="n"/>
      <c r="N176" s="18" t="n"/>
      <c r="O176" s="18" t="n"/>
      <c r="P176" s="17" t="n"/>
      <c r="Q176" s="18">
        <f>IF(AND(I176="Won",P176&lt;&gt;"",N176&gt;=Settings!$B$7),MIN(N176*Settings!$B$2,Settings!$B$3),0)</f>
        <v/>
      </c>
      <c r="R176" s="18">
        <f>IF(AND(I176="Won",P176&lt;&gt;""),O176*Settings!$B$4,0)</f>
        <v/>
      </c>
      <c r="S176" s="17" t="n"/>
    </row>
    <row r="177">
      <c r="A177" s="16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6" t="n"/>
      <c r="K177" s="16">
        <f>IF(OR(J177="",I177="Won",I177="Lost",I177="Not a fit",L177="Yes"),"",J177+Settings!$B$8)</f>
        <v/>
      </c>
      <c r="L177" s="17" t="n"/>
      <c r="M177" s="17" t="n"/>
      <c r="N177" s="18" t="n"/>
      <c r="O177" s="18" t="n"/>
      <c r="P177" s="17" t="n"/>
      <c r="Q177" s="18">
        <f>IF(AND(I177="Won",P177&lt;&gt;"",N177&gt;=Settings!$B$7),MIN(N177*Settings!$B$2,Settings!$B$3),0)</f>
        <v/>
      </c>
      <c r="R177" s="18">
        <f>IF(AND(I177="Won",P177&lt;&gt;""),O177*Settings!$B$4,0)</f>
        <v/>
      </c>
      <c r="S177" s="17" t="n"/>
    </row>
    <row r="178">
      <c r="A178" s="16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6" t="n"/>
      <c r="K178" s="16">
        <f>IF(OR(J178="",I178="Won",I178="Lost",I178="Not a fit",L178="Yes"),"",J178+Settings!$B$8)</f>
        <v/>
      </c>
      <c r="L178" s="17" t="n"/>
      <c r="M178" s="17" t="n"/>
      <c r="N178" s="18" t="n"/>
      <c r="O178" s="18" t="n"/>
      <c r="P178" s="17" t="n"/>
      <c r="Q178" s="18">
        <f>IF(AND(I178="Won",P178&lt;&gt;"",N178&gt;=Settings!$B$7),MIN(N178*Settings!$B$2,Settings!$B$3),0)</f>
        <v/>
      </c>
      <c r="R178" s="18">
        <f>IF(AND(I178="Won",P178&lt;&gt;""),O178*Settings!$B$4,0)</f>
        <v/>
      </c>
      <c r="S178" s="17" t="n"/>
    </row>
    <row r="179">
      <c r="A179" s="16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6" t="n"/>
      <c r="K179" s="16">
        <f>IF(OR(J179="",I179="Won",I179="Lost",I179="Not a fit",L179="Yes"),"",J179+Settings!$B$8)</f>
        <v/>
      </c>
      <c r="L179" s="17" t="n"/>
      <c r="M179" s="17" t="n"/>
      <c r="N179" s="18" t="n"/>
      <c r="O179" s="18" t="n"/>
      <c r="P179" s="17" t="n"/>
      <c r="Q179" s="18">
        <f>IF(AND(I179="Won",P179&lt;&gt;"",N179&gt;=Settings!$B$7),MIN(N179*Settings!$B$2,Settings!$B$3),0)</f>
        <v/>
      </c>
      <c r="R179" s="18">
        <f>IF(AND(I179="Won",P179&lt;&gt;""),O179*Settings!$B$4,0)</f>
        <v/>
      </c>
      <c r="S179" s="17" t="n"/>
    </row>
    <row r="180">
      <c r="A180" s="16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6" t="n"/>
      <c r="K180" s="16">
        <f>IF(OR(J180="",I180="Won",I180="Lost",I180="Not a fit",L180="Yes"),"",J180+Settings!$B$8)</f>
        <v/>
      </c>
      <c r="L180" s="17" t="n"/>
      <c r="M180" s="17" t="n"/>
      <c r="N180" s="18" t="n"/>
      <c r="O180" s="18" t="n"/>
      <c r="P180" s="17" t="n"/>
      <c r="Q180" s="18">
        <f>IF(AND(I180="Won",P180&lt;&gt;"",N180&gt;=Settings!$B$7),MIN(N180*Settings!$B$2,Settings!$B$3),0)</f>
        <v/>
      </c>
      <c r="R180" s="18">
        <f>IF(AND(I180="Won",P180&lt;&gt;""),O180*Settings!$B$4,0)</f>
        <v/>
      </c>
      <c r="S180" s="17" t="n"/>
    </row>
    <row r="181">
      <c r="A181" s="16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6" t="n"/>
      <c r="K181" s="16">
        <f>IF(OR(J181="",I181="Won",I181="Lost",I181="Not a fit",L181="Yes"),"",J181+Settings!$B$8)</f>
        <v/>
      </c>
      <c r="L181" s="17" t="n"/>
      <c r="M181" s="17" t="n"/>
      <c r="N181" s="18" t="n"/>
      <c r="O181" s="18" t="n"/>
      <c r="P181" s="17" t="n"/>
      <c r="Q181" s="18">
        <f>IF(AND(I181="Won",P181&lt;&gt;"",N181&gt;=Settings!$B$7),MIN(N181*Settings!$B$2,Settings!$B$3),0)</f>
        <v/>
      </c>
      <c r="R181" s="18">
        <f>IF(AND(I181="Won",P181&lt;&gt;""),O181*Settings!$B$4,0)</f>
        <v/>
      </c>
      <c r="S181" s="17" t="n"/>
    </row>
    <row r="182">
      <c r="A182" s="16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6" t="n"/>
      <c r="K182" s="16">
        <f>IF(OR(J182="",I182="Won",I182="Lost",I182="Not a fit",L182="Yes"),"",J182+Settings!$B$8)</f>
        <v/>
      </c>
      <c r="L182" s="17" t="n"/>
      <c r="M182" s="17" t="n"/>
      <c r="N182" s="18" t="n"/>
      <c r="O182" s="18" t="n"/>
      <c r="P182" s="17" t="n"/>
      <c r="Q182" s="18">
        <f>IF(AND(I182="Won",P182&lt;&gt;"",N182&gt;=Settings!$B$7),MIN(N182*Settings!$B$2,Settings!$B$3),0)</f>
        <v/>
      </c>
      <c r="R182" s="18">
        <f>IF(AND(I182="Won",P182&lt;&gt;""),O182*Settings!$B$4,0)</f>
        <v/>
      </c>
      <c r="S182" s="17" t="n"/>
    </row>
    <row r="183">
      <c r="A183" s="16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6" t="n"/>
      <c r="K183" s="16">
        <f>IF(OR(J183="",I183="Won",I183="Lost",I183="Not a fit",L183="Yes"),"",J183+Settings!$B$8)</f>
        <v/>
      </c>
      <c r="L183" s="17" t="n"/>
      <c r="M183" s="17" t="n"/>
      <c r="N183" s="18" t="n"/>
      <c r="O183" s="18" t="n"/>
      <c r="P183" s="17" t="n"/>
      <c r="Q183" s="18">
        <f>IF(AND(I183="Won",P183&lt;&gt;"",N183&gt;=Settings!$B$7),MIN(N183*Settings!$B$2,Settings!$B$3),0)</f>
        <v/>
      </c>
      <c r="R183" s="18">
        <f>IF(AND(I183="Won",P183&lt;&gt;""),O183*Settings!$B$4,0)</f>
        <v/>
      </c>
      <c r="S183" s="17" t="n"/>
    </row>
    <row r="184">
      <c r="A184" s="16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6" t="n"/>
      <c r="K184" s="16">
        <f>IF(OR(J184="",I184="Won",I184="Lost",I184="Not a fit",L184="Yes"),"",J184+Settings!$B$8)</f>
        <v/>
      </c>
      <c r="L184" s="17" t="n"/>
      <c r="M184" s="17" t="n"/>
      <c r="N184" s="18" t="n"/>
      <c r="O184" s="18" t="n"/>
      <c r="P184" s="17" t="n"/>
      <c r="Q184" s="18">
        <f>IF(AND(I184="Won",P184&lt;&gt;"",N184&gt;=Settings!$B$7),MIN(N184*Settings!$B$2,Settings!$B$3),0)</f>
        <v/>
      </c>
      <c r="R184" s="18">
        <f>IF(AND(I184="Won",P184&lt;&gt;""),O184*Settings!$B$4,0)</f>
        <v/>
      </c>
      <c r="S184" s="17" t="n"/>
    </row>
    <row r="185">
      <c r="A185" s="16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6" t="n"/>
      <c r="K185" s="16">
        <f>IF(OR(J185="",I185="Won",I185="Lost",I185="Not a fit",L185="Yes"),"",J185+Settings!$B$8)</f>
        <v/>
      </c>
      <c r="L185" s="17" t="n"/>
      <c r="M185" s="17" t="n"/>
      <c r="N185" s="18" t="n"/>
      <c r="O185" s="18" t="n"/>
      <c r="P185" s="17" t="n"/>
      <c r="Q185" s="18">
        <f>IF(AND(I185="Won",P185&lt;&gt;"",N185&gt;=Settings!$B$7),MIN(N185*Settings!$B$2,Settings!$B$3),0)</f>
        <v/>
      </c>
      <c r="R185" s="18">
        <f>IF(AND(I185="Won",P185&lt;&gt;""),O185*Settings!$B$4,0)</f>
        <v/>
      </c>
      <c r="S185" s="17" t="n"/>
    </row>
    <row r="186">
      <c r="A186" s="16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6" t="n"/>
      <c r="K186" s="16">
        <f>IF(OR(J186="",I186="Won",I186="Lost",I186="Not a fit",L186="Yes"),"",J186+Settings!$B$8)</f>
        <v/>
      </c>
      <c r="L186" s="17" t="n"/>
      <c r="M186" s="17" t="n"/>
      <c r="N186" s="18" t="n"/>
      <c r="O186" s="18" t="n"/>
      <c r="P186" s="17" t="n"/>
      <c r="Q186" s="18">
        <f>IF(AND(I186="Won",P186&lt;&gt;"",N186&gt;=Settings!$B$7),MIN(N186*Settings!$B$2,Settings!$B$3),0)</f>
        <v/>
      </c>
      <c r="R186" s="18">
        <f>IF(AND(I186="Won",P186&lt;&gt;""),O186*Settings!$B$4,0)</f>
        <v/>
      </c>
      <c r="S186" s="17" t="n"/>
    </row>
    <row r="187">
      <c r="A187" s="16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6" t="n"/>
      <c r="K187" s="16">
        <f>IF(OR(J187="",I187="Won",I187="Lost",I187="Not a fit",L187="Yes"),"",J187+Settings!$B$8)</f>
        <v/>
      </c>
      <c r="L187" s="17" t="n"/>
      <c r="M187" s="17" t="n"/>
      <c r="N187" s="18" t="n"/>
      <c r="O187" s="18" t="n"/>
      <c r="P187" s="17" t="n"/>
      <c r="Q187" s="18">
        <f>IF(AND(I187="Won",P187&lt;&gt;"",N187&gt;=Settings!$B$7),MIN(N187*Settings!$B$2,Settings!$B$3),0)</f>
        <v/>
      </c>
      <c r="R187" s="18">
        <f>IF(AND(I187="Won",P187&lt;&gt;""),O187*Settings!$B$4,0)</f>
        <v/>
      </c>
      <c r="S187" s="17" t="n"/>
    </row>
    <row r="188">
      <c r="A188" s="16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6" t="n"/>
      <c r="K188" s="16">
        <f>IF(OR(J188="",I188="Won",I188="Lost",I188="Not a fit",L188="Yes"),"",J188+Settings!$B$8)</f>
        <v/>
      </c>
      <c r="L188" s="17" t="n"/>
      <c r="M188" s="17" t="n"/>
      <c r="N188" s="18" t="n"/>
      <c r="O188" s="18" t="n"/>
      <c r="P188" s="17" t="n"/>
      <c r="Q188" s="18">
        <f>IF(AND(I188="Won",P188&lt;&gt;"",N188&gt;=Settings!$B$7),MIN(N188*Settings!$B$2,Settings!$B$3),0)</f>
        <v/>
      </c>
      <c r="R188" s="18">
        <f>IF(AND(I188="Won",P188&lt;&gt;""),O188*Settings!$B$4,0)</f>
        <v/>
      </c>
      <c r="S188" s="17" t="n"/>
    </row>
    <row r="189">
      <c r="A189" s="16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6" t="n"/>
      <c r="K189" s="16">
        <f>IF(OR(J189="",I189="Won",I189="Lost",I189="Not a fit",L189="Yes"),"",J189+Settings!$B$8)</f>
        <v/>
      </c>
      <c r="L189" s="17" t="n"/>
      <c r="M189" s="17" t="n"/>
      <c r="N189" s="18" t="n"/>
      <c r="O189" s="18" t="n"/>
      <c r="P189" s="17" t="n"/>
      <c r="Q189" s="18">
        <f>IF(AND(I189="Won",P189&lt;&gt;"",N189&gt;=Settings!$B$7),MIN(N189*Settings!$B$2,Settings!$B$3),0)</f>
        <v/>
      </c>
      <c r="R189" s="18">
        <f>IF(AND(I189="Won",P189&lt;&gt;""),O189*Settings!$B$4,0)</f>
        <v/>
      </c>
      <c r="S189" s="17" t="n"/>
    </row>
    <row r="190">
      <c r="A190" s="16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6" t="n"/>
      <c r="K190" s="16">
        <f>IF(OR(J190="",I190="Won",I190="Lost",I190="Not a fit",L190="Yes"),"",J190+Settings!$B$8)</f>
        <v/>
      </c>
      <c r="L190" s="17" t="n"/>
      <c r="M190" s="17" t="n"/>
      <c r="N190" s="18" t="n"/>
      <c r="O190" s="18" t="n"/>
      <c r="P190" s="17" t="n"/>
      <c r="Q190" s="18">
        <f>IF(AND(I190="Won",P190&lt;&gt;"",N190&gt;=Settings!$B$7),MIN(N190*Settings!$B$2,Settings!$B$3),0)</f>
        <v/>
      </c>
      <c r="R190" s="18">
        <f>IF(AND(I190="Won",P190&lt;&gt;""),O190*Settings!$B$4,0)</f>
        <v/>
      </c>
      <c r="S190" s="17" t="n"/>
    </row>
    <row r="191">
      <c r="A191" s="16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6" t="n"/>
      <c r="K191" s="16">
        <f>IF(OR(J191="",I191="Won",I191="Lost",I191="Not a fit",L191="Yes"),"",J191+Settings!$B$8)</f>
        <v/>
      </c>
      <c r="L191" s="17" t="n"/>
      <c r="M191" s="17" t="n"/>
      <c r="N191" s="18" t="n"/>
      <c r="O191" s="18" t="n"/>
      <c r="P191" s="17" t="n"/>
      <c r="Q191" s="18">
        <f>IF(AND(I191="Won",P191&lt;&gt;"",N191&gt;=Settings!$B$7),MIN(N191*Settings!$B$2,Settings!$B$3),0)</f>
        <v/>
      </c>
      <c r="R191" s="18">
        <f>IF(AND(I191="Won",P191&lt;&gt;""),O191*Settings!$B$4,0)</f>
        <v/>
      </c>
      <c r="S191" s="17" t="n"/>
    </row>
    <row r="192">
      <c r="A192" s="16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6" t="n"/>
      <c r="K192" s="16">
        <f>IF(OR(J192="",I192="Won",I192="Lost",I192="Not a fit",L192="Yes"),"",J192+Settings!$B$8)</f>
        <v/>
      </c>
      <c r="L192" s="17" t="n"/>
      <c r="M192" s="17" t="n"/>
      <c r="N192" s="18" t="n"/>
      <c r="O192" s="18" t="n"/>
      <c r="P192" s="17" t="n"/>
      <c r="Q192" s="18">
        <f>IF(AND(I192="Won",P192&lt;&gt;"",N192&gt;=Settings!$B$7),MIN(N192*Settings!$B$2,Settings!$B$3),0)</f>
        <v/>
      </c>
      <c r="R192" s="18">
        <f>IF(AND(I192="Won",P192&lt;&gt;""),O192*Settings!$B$4,0)</f>
        <v/>
      </c>
      <c r="S192" s="17" t="n"/>
    </row>
    <row r="193">
      <c r="A193" s="16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6" t="n"/>
      <c r="K193" s="16">
        <f>IF(OR(J193="",I193="Won",I193="Lost",I193="Not a fit",L193="Yes"),"",J193+Settings!$B$8)</f>
        <v/>
      </c>
      <c r="L193" s="17" t="n"/>
      <c r="M193" s="17" t="n"/>
      <c r="N193" s="18" t="n"/>
      <c r="O193" s="18" t="n"/>
      <c r="P193" s="17" t="n"/>
      <c r="Q193" s="18">
        <f>IF(AND(I193="Won",P193&lt;&gt;"",N193&gt;=Settings!$B$7),MIN(N193*Settings!$B$2,Settings!$B$3),0)</f>
        <v/>
      </c>
      <c r="R193" s="18">
        <f>IF(AND(I193="Won",P193&lt;&gt;""),O193*Settings!$B$4,0)</f>
        <v/>
      </c>
      <c r="S193" s="17" t="n"/>
    </row>
    <row r="194">
      <c r="A194" s="16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6" t="n"/>
      <c r="K194" s="16">
        <f>IF(OR(J194="",I194="Won",I194="Lost",I194="Not a fit",L194="Yes"),"",J194+Settings!$B$8)</f>
        <v/>
      </c>
      <c r="L194" s="17" t="n"/>
      <c r="M194" s="17" t="n"/>
      <c r="N194" s="18" t="n"/>
      <c r="O194" s="18" t="n"/>
      <c r="P194" s="17" t="n"/>
      <c r="Q194" s="18">
        <f>IF(AND(I194="Won",P194&lt;&gt;"",N194&gt;=Settings!$B$7),MIN(N194*Settings!$B$2,Settings!$B$3),0)</f>
        <v/>
      </c>
      <c r="R194" s="18">
        <f>IF(AND(I194="Won",P194&lt;&gt;""),O194*Settings!$B$4,0)</f>
        <v/>
      </c>
      <c r="S194" s="17" t="n"/>
    </row>
    <row r="195">
      <c r="A195" s="16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6" t="n"/>
      <c r="K195" s="16">
        <f>IF(OR(J195="",I195="Won",I195="Lost",I195="Not a fit",L195="Yes"),"",J195+Settings!$B$8)</f>
        <v/>
      </c>
      <c r="L195" s="17" t="n"/>
      <c r="M195" s="17" t="n"/>
      <c r="N195" s="18" t="n"/>
      <c r="O195" s="18" t="n"/>
      <c r="P195" s="17" t="n"/>
      <c r="Q195" s="18">
        <f>IF(AND(I195="Won",P195&lt;&gt;"",N195&gt;=Settings!$B$7),MIN(N195*Settings!$B$2,Settings!$B$3),0)</f>
        <v/>
      </c>
      <c r="R195" s="18">
        <f>IF(AND(I195="Won",P195&lt;&gt;""),O195*Settings!$B$4,0)</f>
        <v/>
      </c>
      <c r="S195" s="17" t="n"/>
    </row>
    <row r="196">
      <c r="A196" s="16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6" t="n"/>
      <c r="K196" s="16">
        <f>IF(OR(J196="",I196="Won",I196="Lost",I196="Not a fit",L196="Yes"),"",J196+Settings!$B$8)</f>
        <v/>
      </c>
      <c r="L196" s="17" t="n"/>
      <c r="M196" s="17" t="n"/>
      <c r="N196" s="18" t="n"/>
      <c r="O196" s="18" t="n"/>
      <c r="P196" s="17" t="n"/>
      <c r="Q196" s="18">
        <f>IF(AND(I196="Won",P196&lt;&gt;"",N196&gt;=Settings!$B$7),MIN(N196*Settings!$B$2,Settings!$B$3),0)</f>
        <v/>
      </c>
      <c r="R196" s="18">
        <f>IF(AND(I196="Won",P196&lt;&gt;""),O196*Settings!$B$4,0)</f>
        <v/>
      </c>
      <c r="S196" s="17" t="n"/>
    </row>
    <row r="197">
      <c r="A197" s="16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6" t="n"/>
      <c r="K197" s="16">
        <f>IF(OR(J197="",I197="Won",I197="Lost",I197="Not a fit",L197="Yes"),"",J197+Settings!$B$8)</f>
        <v/>
      </c>
      <c r="L197" s="17" t="n"/>
      <c r="M197" s="17" t="n"/>
      <c r="N197" s="18" t="n"/>
      <c r="O197" s="18" t="n"/>
      <c r="P197" s="17" t="n"/>
      <c r="Q197" s="18">
        <f>IF(AND(I197="Won",P197&lt;&gt;"",N197&gt;=Settings!$B$7),MIN(N197*Settings!$B$2,Settings!$B$3),0)</f>
        <v/>
      </c>
      <c r="R197" s="18">
        <f>IF(AND(I197="Won",P197&lt;&gt;""),O197*Settings!$B$4,0)</f>
        <v/>
      </c>
      <c r="S197" s="17" t="n"/>
    </row>
    <row r="198">
      <c r="A198" s="16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6" t="n"/>
      <c r="K198" s="16">
        <f>IF(OR(J198="",I198="Won",I198="Lost",I198="Not a fit",L198="Yes"),"",J198+Settings!$B$8)</f>
        <v/>
      </c>
      <c r="L198" s="17" t="n"/>
      <c r="M198" s="17" t="n"/>
      <c r="N198" s="18" t="n"/>
      <c r="O198" s="18" t="n"/>
      <c r="P198" s="17" t="n"/>
      <c r="Q198" s="18">
        <f>IF(AND(I198="Won",P198&lt;&gt;"",N198&gt;=Settings!$B$7),MIN(N198*Settings!$B$2,Settings!$B$3),0)</f>
        <v/>
      </c>
      <c r="R198" s="18">
        <f>IF(AND(I198="Won",P198&lt;&gt;""),O198*Settings!$B$4,0)</f>
        <v/>
      </c>
      <c r="S198" s="17" t="n"/>
    </row>
    <row r="199">
      <c r="A199" s="16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6" t="n"/>
      <c r="K199" s="16">
        <f>IF(OR(J199="",I199="Won",I199="Lost",I199="Not a fit",L199="Yes"),"",J199+Settings!$B$8)</f>
        <v/>
      </c>
      <c r="L199" s="17" t="n"/>
      <c r="M199" s="17" t="n"/>
      <c r="N199" s="18" t="n"/>
      <c r="O199" s="18" t="n"/>
      <c r="P199" s="17" t="n"/>
      <c r="Q199" s="18">
        <f>IF(AND(I199="Won",P199&lt;&gt;"",N199&gt;=Settings!$B$7),MIN(N199*Settings!$B$2,Settings!$B$3),0)</f>
        <v/>
      </c>
      <c r="R199" s="18">
        <f>IF(AND(I199="Won",P199&lt;&gt;""),O199*Settings!$B$4,0)</f>
        <v/>
      </c>
      <c r="S199" s="17" t="n"/>
    </row>
    <row r="200">
      <c r="A200" s="16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6" t="n"/>
      <c r="K200" s="16">
        <f>IF(OR(J200="",I200="Won",I200="Lost",I200="Not a fit",L200="Yes"),"",J200+Settings!$B$8)</f>
        <v/>
      </c>
      <c r="L200" s="17" t="n"/>
      <c r="M200" s="17" t="n"/>
      <c r="N200" s="18" t="n"/>
      <c r="O200" s="18" t="n"/>
      <c r="P200" s="17" t="n"/>
      <c r="Q200" s="18">
        <f>IF(AND(I200="Won",P200&lt;&gt;"",N200&gt;=Settings!$B$7),MIN(N200*Settings!$B$2,Settings!$B$3),0)</f>
        <v/>
      </c>
      <c r="R200" s="18">
        <f>IF(AND(I200="Won",P200&lt;&gt;""),O200*Settings!$B$4,0)</f>
        <v/>
      </c>
      <c r="S200" s="17" t="n"/>
    </row>
    <row r="201">
      <c r="A201" s="16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6" t="n"/>
      <c r="K201" s="16">
        <f>IF(OR(J201="",I201="Won",I201="Lost",I201="Not a fit",L201="Yes"),"",J201+Settings!$B$8)</f>
        <v/>
      </c>
      <c r="L201" s="17" t="n"/>
      <c r="M201" s="17" t="n"/>
      <c r="N201" s="18" t="n"/>
      <c r="O201" s="18" t="n"/>
      <c r="P201" s="17" t="n"/>
      <c r="Q201" s="18">
        <f>IF(AND(I201="Won",P201&lt;&gt;"",N201&gt;=Settings!$B$7),MIN(N201*Settings!$B$2,Settings!$B$3),0)</f>
        <v/>
      </c>
      <c r="R201" s="18">
        <f>IF(AND(I201="Won",P201&lt;&gt;""),O201*Settings!$B$4,0)</f>
        <v/>
      </c>
      <c r="S201" s="17" t="n"/>
    </row>
    <row r="202">
      <c r="A202" s="16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6" t="n"/>
      <c r="K202" s="16">
        <f>IF(OR(J202="",I202="Won",I202="Lost",I202="Not a fit",L202="Yes"),"",J202+Settings!$B$8)</f>
        <v/>
      </c>
      <c r="L202" s="17" t="n"/>
      <c r="M202" s="17" t="n"/>
      <c r="N202" s="18" t="n"/>
      <c r="O202" s="18" t="n"/>
      <c r="P202" s="17" t="n"/>
      <c r="Q202" s="18">
        <f>IF(AND(I202="Won",P202&lt;&gt;"",N202&gt;=Settings!$B$7),MIN(N202*Settings!$B$2,Settings!$B$3),0)</f>
        <v/>
      </c>
      <c r="R202" s="18">
        <f>IF(AND(I202="Won",P202&lt;&gt;""),O202*Settings!$B$4,0)</f>
        <v/>
      </c>
      <c r="S202" s="17" t="n"/>
    </row>
    <row r="203">
      <c r="A203" s="16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6" t="n"/>
      <c r="K203" s="16">
        <f>IF(OR(J203="",I203="Won",I203="Lost",I203="Not a fit",L203="Yes"),"",J203+Settings!$B$8)</f>
        <v/>
      </c>
      <c r="L203" s="17" t="n"/>
      <c r="M203" s="17" t="n"/>
      <c r="N203" s="18" t="n"/>
      <c r="O203" s="18" t="n"/>
      <c r="P203" s="17" t="n"/>
      <c r="Q203" s="18">
        <f>IF(AND(I203="Won",P203&lt;&gt;"",N203&gt;=Settings!$B$7),MIN(N203*Settings!$B$2,Settings!$B$3),0)</f>
        <v/>
      </c>
      <c r="R203" s="18">
        <f>IF(AND(I203="Won",P203&lt;&gt;""),O203*Settings!$B$4,0)</f>
        <v/>
      </c>
      <c r="S203" s="17" t="n"/>
    </row>
    <row r="204">
      <c r="A204" s="16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6" t="n"/>
      <c r="K204" s="16">
        <f>IF(OR(J204="",I204="Won",I204="Lost",I204="Not a fit",L204="Yes"),"",J204+Settings!$B$8)</f>
        <v/>
      </c>
      <c r="L204" s="17" t="n"/>
      <c r="M204" s="17" t="n"/>
      <c r="N204" s="18" t="n"/>
      <c r="O204" s="18" t="n"/>
      <c r="P204" s="17" t="n"/>
      <c r="Q204" s="18">
        <f>IF(AND(I204="Won",P204&lt;&gt;"",N204&gt;=Settings!$B$7),MIN(N204*Settings!$B$2,Settings!$B$3),0)</f>
        <v/>
      </c>
      <c r="R204" s="18">
        <f>IF(AND(I204="Won",P204&lt;&gt;""),O204*Settings!$B$4,0)</f>
        <v/>
      </c>
      <c r="S204" s="17" t="n"/>
    </row>
    <row r="205">
      <c r="A205" s="16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6" t="n"/>
      <c r="K205" s="16">
        <f>IF(OR(J205="",I205="Won",I205="Lost",I205="Not a fit",L205="Yes"),"",J205+Settings!$B$8)</f>
        <v/>
      </c>
      <c r="L205" s="17" t="n"/>
      <c r="M205" s="17" t="n"/>
      <c r="N205" s="18" t="n"/>
      <c r="O205" s="18" t="n"/>
      <c r="P205" s="17" t="n"/>
      <c r="Q205" s="18">
        <f>IF(AND(I205="Won",P205&lt;&gt;"",N205&gt;=Settings!$B$7),MIN(N205*Settings!$B$2,Settings!$B$3),0)</f>
        <v/>
      </c>
      <c r="R205" s="18">
        <f>IF(AND(I205="Won",P205&lt;&gt;""),O205*Settings!$B$4,0)</f>
        <v/>
      </c>
      <c r="S205" s="17" t="n"/>
    </row>
    <row r="206">
      <c r="A206" s="16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6" t="n"/>
      <c r="K206" s="16">
        <f>IF(OR(J206="",I206="Won",I206="Lost",I206="Not a fit",L206="Yes"),"",J206+Settings!$B$8)</f>
        <v/>
      </c>
      <c r="L206" s="17" t="n"/>
      <c r="M206" s="17" t="n"/>
      <c r="N206" s="18" t="n"/>
      <c r="O206" s="18" t="n"/>
      <c r="P206" s="17" t="n"/>
      <c r="Q206" s="18">
        <f>IF(AND(I206="Won",P206&lt;&gt;"",N206&gt;=Settings!$B$7),MIN(N206*Settings!$B$2,Settings!$B$3),0)</f>
        <v/>
      </c>
      <c r="R206" s="18">
        <f>IF(AND(I206="Won",P206&lt;&gt;""),O206*Settings!$B$4,0)</f>
        <v/>
      </c>
      <c r="S206" s="17" t="n"/>
    </row>
    <row r="207">
      <c r="A207" s="16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6" t="n"/>
      <c r="K207" s="16">
        <f>IF(OR(J207="",I207="Won",I207="Lost",I207="Not a fit",L207="Yes"),"",J207+Settings!$B$8)</f>
        <v/>
      </c>
      <c r="L207" s="17" t="n"/>
      <c r="M207" s="17" t="n"/>
      <c r="N207" s="18" t="n"/>
      <c r="O207" s="18" t="n"/>
      <c r="P207" s="17" t="n"/>
      <c r="Q207" s="18">
        <f>IF(AND(I207="Won",P207&lt;&gt;"",N207&gt;=Settings!$B$7),MIN(N207*Settings!$B$2,Settings!$B$3),0)</f>
        <v/>
      </c>
      <c r="R207" s="18">
        <f>IF(AND(I207="Won",P207&lt;&gt;""),O207*Settings!$B$4,0)</f>
        <v/>
      </c>
      <c r="S207" s="17" t="n"/>
    </row>
    <row r="208">
      <c r="A208" s="16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6" t="n"/>
      <c r="K208" s="16">
        <f>IF(OR(J208="",I208="Won",I208="Lost",I208="Not a fit",L208="Yes"),"",J208+Settings!$B$8)</f>
        <v/>
      </c>
      <c r="L208" s="17" t="n"/>
      <c r="M208" s="17" t="n"/>
      <c r="N208" s="18" t="n"/>
      <c r="O208" s="18" t="n"/>
      <c r="P208" s="17" t="n"/>
      <c r="Q208" s="18">
        <f>IF(AND(I208="Won",P208&lt;&gt;"",N208&gt;=Settings!$B$7),MIN(N208*Settings!$B$2,Settings!$B$3),0)</f>
        <v/>
      </c>
      <c r="R208" s="18">
        <f>IF(AND(I208="Won",P208&lt;&gt;""),O208*Settings!$B$4,0)</f>
        <v/>
      </c>
      <c r="S208" s="17" t="n"/>
    </row>
    <row r="209">
      <c r="A209" s="16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6" t="n"/>
      <c r="K209" s="16">
        <f>IF(OR(J209="",I209="Won",I209="Lost",I209="Not a fit",L209="Yes"),"",J209+Settings!$B$8)</f>
        <v/>
      </c>
      <c r="L209" s="17" t="n"/>
      <c r="M209" s="17" t="n"/>
      <c r="N209" s="18" t="n"/>
      <c r="O209" s="18" t="n"/>
      <c r="P209" s="17" t="n"/>
      <c r="Q209" s="18">
        <f>IF(AND(I209="Won",P209&lt;&gt;"",N209&gt;=Settings!$B$7),MIN(N209*Settings!$B$2,Settings!$B$3),0)</f>
        <v/>
      </c>
      <c r="R209" s="18">
        <f>IF(AND(I209="Won",P209&lt;&gt;""),O209*Settings!$B$4,0)</f>
        <v/>
      </c>
      <c r="S209" s="17" t="n"/>
    </row>
    <row r="210">
      <c r="A210" s="16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6" t="n"/>
      <c r="K210" s="16">
        <f>IF(OR(J210="",I210="Won",I210="Lost",I210="Not a fit",L210="Yes"),"",J210+Settings!$B$8)</f>
        <v/>
      </c>
      <c r="L210" s="17" t="n"/>
      <c r="M210" s="17" t="n"/>
      <c r="N210" s="18" t="n"/>
      <c r="O210" s="18" t="n"/>
      <c r="P210" s="17" t="n"/>
      <c r="Q210" s="18">
        <f>IF(AND(I210="Won",P210&lt;&gt;"",N210&gt;=Settings!$B$7),MIN(N210*Settings!$B$2,Settings!$B$3),0)</f>
        <v/>
      </c>
      <c r="R210" s="18">
        <f>IF(AND(I210="Won",P210&lt;&gt;""),O210*Settings!$B$4,0)</f>
        <v/>
      </c>
      <c r="S210" s="17" t="n"/>
    </row>
    <row r="211">
      <c r="A211" s="16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6" t="n"/>
      <c r="K211" s="16">
        <f>IF(OR(J211="",I211="Won",I211="Lost",I211="Not a fit",L211="Yes"),"",J211+Settings!$B$8)</f>
        <v/>
      </c>
      <c r="L211" s="17" t="n"/>
      <c r="M211" s="17" t="n"/>
      <c r="N211" s="18" t="n"/>
      <c r="O211" s="18" t="n"/>
      <c r="P211" s="17" t="n"/>
      <c r="Q211" s="18">
        <f>IF(AND(I211="Won",P211&lt;&gt;"",N211&gt;=Settings!$B$7),MIN(N211*Settings!$B$2,Settings!$B$3),0)</f>
        <v/>
      </c>
      <c r="R211" s="18">
        <f>IF(AND(I211="Won",P211&lt;&gt;""),O211*Settings!$B$4,0)</f>
        <v/>
      </c>
      <c r="S211" s="17" t="n"/>
    </row>
    <row r="212">
      <c r="A212" s="16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6" t="n"/>
      <c r="K212" s="16">
        <f>IF(OR(J212="",I212="Won",I212="Lost",I212="Not a fit",L212="Yes"),"",J212+Settings!$B$8)</f>
        <v/>
      </c>
      <c r="L212" s="17" t="n"/>
      <c r="M212" s="17" t="n"/>
      <c r="N212" s="18" t="n"/>
      <c r="O212" s="18" t="n"/>
      <c r="P212" s="17" t="n"/>
      <c r="Q212" s="18">
        <f>IF(AND(I212="Won",P212&lt;&gt;"",N212&gt;=Settings!$B$7),MIN(N212*Settings!$B$2,Settings!$B$3),0)</f>
        <v/>
      </c>
      <c r="R212" s="18">
        <f>IF(AND(I212="Won",P212&lt;&gt;""),O212*Settings!$B$4,0)</f>
        <v/>
      </c>
      <c r="S212" s="17" t="n"/>
    </row>
    <row r="213">
      <c r="A213" s="16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6" t="n"/>
      <c r="K213" s="16">
        <f>IF(OR(J213="",I213="Won",I213="Lost",I213="Not a fit",L213="Yes"),"",J213+Settings!$B$8)</f>
        <v/>
      </c>
      <c r="L213" s="17" t="n"/>
      <c r="M213" s="17" t="n"/>
      <c r="N213" s="18" t="n"/>
      <c r="O213" s="18" t="n"/>
      <c r="P213" s="17" t="n"/>
      <c r="Q213" s="18">
        <f>IF(AND(I213="Won",P213&lt;&gt;"",N213&gt;=Settings!$B$7),MIN(N213*Settings!$B$2,Settings!$B$3),0)</f>
        <v/>
      </c>
      <c r="R213" s="18">
        <f>IF(AND(I213="Won",P213&lt;&gt;""),O213*Settings!$B$4,0)</f>
        <v/>
      </c>
      <c r="S213" s="17" t="n"/>
    </row>
    <row r="214">
      <c r="A214" s="16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6" t="n"/>
      <c r="K214" s="16">
        <f>IF(OR(J214="",I214="Won",I214="Lost",I214="Not a fit",L214="Yes"),"",J214+Settings!$B$8)</f>
        <v/>
      </c>
      <c r="L214" s="17" t="n"/>
      <c r="M214" s="17" t="n"/>
      <c r="N214" s="18" t="n"/>
      <c r="O214" s="18" t="n"/>
      <c r="P214" s="17" t="n"/>
      <c r="Q214" s="18">
        <f>IF(AND(I214="Won",P214&lt;&gt;"",N214&gt;=Settings!$B$7),MIN(N214*Settings!$B$2,Settings!$B$3),0)</f>
        <v/>
      </c>
      <c r="R214" s="18">
        <f>IF(AND(I214="Won",P214&lt;&gt;""),O214*Settings!$B$4,0)</f>
        <v/>
      </c>
      <c r="S214" s="17" t="n"/>
    </row>
    <row r="215">
      <c r="A215" s="16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6" t="n"/>
      <c r="K215" s="16">
        <f>IF(OR(J215="",I215="Won",I215="Lost",I215="Not a fit",L215="Yes"),"",J215+Settings!$B$8)</f>
        <v/>
      </c>
      <c r="L215" s="17" t="n"/>
      <c r="M215" s="17" t="n"/>
      <c r="N215" s="18" t="n"/>
      <c r="O215" s="18" t="n"/>
      <c r="P215" s="17" t="n"/>
      <c r="Q215" s="18">
        <f>IF(AND(I215="Won",P215&lt;&gt;"",N215&gt;=Settings!$B$7),MIN(N215*Settings!$B$2,Settings!$B$3),0)</f>
        <v/>
      </c>
      <c r="R215" s="18">
        <f>IF(AND(I215="Won",P215&lt;&gt;""),O215*Settings!$B$4,0)</f>
        <v/>
      </c>
      <c r="S215" s="17" t="n"/>
    </row>
    <row r="216">
      <c r="A216" s="16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6" t="n"/>
      <c r="K216" s="16">
        <f>IF(OR(J216="",I216="Won",I216="Lost",I216="Not a fit",L216="Yes"),"",J216+Settings!$B$8)</f>
        <v/>
      </c>
      <c r="L216" s="17" t="n"/>
      <c r="M216" s="17" t="n"/>
      <c r="N216" s="18" t="n"/>
      <c r="O216" s="18" t="n"/>
      <c r="P216" s="17" t="n"/>
      <c r="Q216" s="18">
        <f>IF(AND(I216="Won",P216&lt;&gt;"",N216&gt;=Settings!$B$7),MIN(N216*Settings!$B$2,Settings!$B$3),0)</f>
        <v/>
      </c>
      <c r="R216" s="18">
        <f>IF(AND(I216="Won",P216&lt;&gt;""),O216*Settings!$B$4,0)</f>
        <v/>
      </c>
      <c r="S216" s="17" t="n"/>
    </row>
    <row r="217">
      <c r="A217" s="16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6" t="n"/>
      <c r="K217" s="16">
        <f>IF(OR(J217="",I217="Won",I217="Lost",I217="Not a fit",L217="Yes"),"",J217+Settings!$B$8)</f>
        <v/>
      </c>
      <c r="L217" s="17" t="n"/>
      <c r="M217" s="17" t="n"/>
      <c r="N217" s="18" t="n"/>
      <c r="O217" s="18" t="n"/>
      <c r="P217" s="17" t="n"/>
      <c r="Q217" s="18">
        <f>IF(AND(I217="Won",P217&lt;&gt;"",N217&gt;=Settings!$B$7),MIN(N217*Settings!$B$2,Settings!$B$3),0)</f>
        <v/>
      </c>
      <c r="R217" s="18">
        <f>IF(AND(I217="Won",P217&lt;&gt;""),O217*Settings!$B$4,0)</f>
        <v/>
      </c>
      <c r="S217" s="17" t="n"/>
    </row>
    <row r="218">
      <c r="A218" s="16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6" t="n"/>
      <c r="K218" s="16">
        <f>IF(OR(J218="",I218="Won",I218="Lost",I218="Not a fit",L218="Yes"),"",J218+Settings!$B$8)</f>
        <v/>
      </c>
      <c r="L218" s="17" t="n"/>
      <c r="M218" s="17" t="n"/>
      <c r="N218" s="18" t="n"/>
      <c r="O218" s="18" t="n"/>
      <c r="P218" s="17" t="n"/>
      <c r="Q218" s="18">
        <f>IF(AND(I218="Won",P218&lt;&gt;"",N218&gt;=Settings!$B$7),MIN(N218*Settings!$B$2,Settings!$B$3),0)</f>
        <v/>
      </c>
      <c r="R218" s="18">
        <f>IF(AND(I218="Won",P218&lt;&gt;""),O218*Settings!$B$4,0)</f>
        <v/>
      </c>
      <c r="S218" s="17" t="n"/>
    </row>
    <row r="219">
      <c r="A219" s="16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6" t="n"/>
      <c r="K219" s="16">
        <f>IF(OR(J219="",I219="Won",I219="Lost",I219="Not a fit",L219="Yes"),"",J219+Settings!$B$8)</f>
        <v/>
      </c>
      <c r="L219" s="17" t="n"/>
      <c r="M219" s="17" t="n"/>
      <c r="N219" s="18" t="n"/>
      <c r="O219" s="18" t="n"/>
      <c r="P219" s="17" t="n"/>
      <c r="Q219" s="18">
        <f>IF(AND(I219="Won",P219&lt;&gt;"",N219&gt;=Settings!$B$7),MIN(N219*Settings!$B$2,Settings!$B$3),0)</f>
        <v/>
      </c>
      <c r="R219" s="18">
        <f>IF(AND(I219="Won",P219&lt;&gt;""),O219*Settings!$B$4,0)</f>
        <v/>
      </c>
      <c r="S219" s="17" t="n"/>
    </row>
    <row r="220">
      <c r="A220" s="16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6" t="n"/>
      <c r="K220" s="16">
        <f>IF(OR(J220="",I220="Won",I220="Lost",I220="Not a fit",L220="Yes"),"",J220+Settings!$B$8)</f>
        <v/>
      </c>
      <c r="L220" s="17" t="n"/>
      <c r="M220" s="17" t="n"/>
      <c r="N220" s="18" t="n"/>
      <c r="O220" s="18" t="n"/>
      <c r="P220" s="17" t="n"/>
      <c r="Q220" s="18">
        <f>IF(AND(I220="Won",P220&lt;&gt;"",N220&gt;=Settings!$B$7),MIN(N220*Settings!$B$2,Settings!$B$3),0)</f>
        <v/>
      </c>
      <c r="R220" s="18">
        <f>IF(AND(I220="Won",P220&lt;&gt;""),O220*Settings!$B$4,0)</f>
        <v/>
      </c>
      <c r="S220" s="17" t="n"/>
    </row>
    <row r="221">
      <c r="A221" s="16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6" t="n"/>
      <c r="K221" s="16">
        <f>IF(OR(J221="",I221="Won",I221="Lost",I221="Not a fit",L221="Yes"),"",J221+Settings!$B$8)</f>
        <v/>
      </c>
      <c r="L221" s="17" t="n"/>
      <c r="M221" s="17" t="n"/>
      <c r="N221" s="18" t="n"/>
      <c r="O221" s="18" t="n"/>
      <c r="P221" s="17" t="n"/>
      <c r="Q221" s="18">
        <f>IF(AND(I221="Won",P221&lt;&gt;"",N221&gt;=Settings!$B$7),MIN(N221*Settings!$B$2,Settings!$B$3),0)</f>
        <v/>
      </c>
      <c r="R221" s="18">
        <f>IF(AND(I221="Won",P221&lt;&gt;""),O221*Settings!$B$4,0)</f>
        <v/>
      </c>
      <c r="S221" s="17" t="n"/>
    </row>
    <row r="222">
      <c r="A222" s="16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6" t="n"/>
      <c r="K222" s="16">
        <f>IF(OR(J222="",I222="Won",I222="Lost",I222="Not a fit",L222="Yes"),"",J222+Settings!$B$8)</f>
        <v/>
      </c>
      <c r="L222" s="17" t="n"/>
      <c r="M222" s="17" t="n"/>
      <c r="N222" s="18" t="n"/>
      <c r="O222" s="18" t="n"/>
      <c r="P222" s="17" t="n"/>
      <c r="Q222" s="18">
        <f>IF(AND(I222="Won",P222&lt;&gt;"",N222&gt;=Settings!$B$7),MIN(N222*Settings!$B$2,Settings!$B$3),0)</f>
        <v/>
      </c>
      <c r="R222" s="18">
        <f>IF(AND(I222="Won",P222&lt;&gt;""),O222*Settings!$B$4,0)</f>
        <v/>
      </c>
      <c r="S222" s="17" t="n"/>
    </row>
    <row r="223">
      <c r="A223" s="16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6" t="n"/>
      <c r="K223" s="16">
        <f>IF(OR(J223="",I223="Won",I223="Lost",I223="Not a fit",L223="Yes"),"",J223+Settings!$B$8)</f>
        <v/>
      </c>
      <c r="L223" s="17" t="n"/>
      <c r="M223" s="17" t="n"/>
      <c r="N223" s="18" t="n"/>
      <c r="O223" s="18" t="n"/>
      <c r="P223" s="17" t="n"/>
      <c r="Q223" s="18">
        <f>IF(AND(I223="Won",P223&lt;&gt;"",N223&gt;=Settings!$B$7),MIN(N223*Settings!$B$2,Settings!$B$3),0)</f>
        <v/>
      </c>
      <c r="R223" s="18">
        <f>IF(AND(I223="Won",P223&lt;&gt;""),O223*Settings!$B$4,0)</f>
        <v/>
      </c>
      <c r="S223" s="17" t="n"/>
    </row>
    <row r="224">
      <c r="A224" s="16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6" t="n"/>
      <c r="K224" s="16">
        <f>IF(OR(J224="",I224="Won",I224="Lost",I224="Not a fit",L224="Yes"),"",J224+Settings!$B$8)</f>
        <v/>
      </c>
      <c r="L224" s="17" t="n"/>
      <c r="M224" s="17" t="n"/>
      <c r="N224" s="18" t="n"/>
      <c r="O224" s="18" t="n"/>
      <c r="P224" s="17" t="n"/>
      <c r="Q224" s="18">
        <f>IF(AND(I224="Won",P224&lt;&gt;"",N224&gt;=Settings!$B$7),MIN(N224*Settings!$B$2,Settings!$B$3),0)</f>
        <v/>
      </c>
      <c r="R224" s="18">
        <f>IF(AND(I224="Won",P224&lt;&gt;""),O224*Settings!$B$4,0)</f>
        <v/>
      </c>
      <c r="S224" s="17" t="n"/>
    </row>
    <row r="225">
      <c r="A225" s="16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6" t="n"/>
      <c r="K225" s="16">
        <f>IF(OR(J225="",I225="Won",I225="Lost",I225="Not a fit",L225="Yes"),"",J225+Settings!$B$8)</f>
        <v/>
      </c>
      <c r="L225" s="17" t="n"/>
      <c r="M225" s="17" t="n"/>
      <c r="N225" s="18" t="n"/>
      <c r="O225" s="18" t="n"/>
      <c r="P225" s="17" t="n"/>
      <c r="Q225" s="18">
        <f>IF(AND(I225="Won",P225&lt;&gt;"",N225&gt;=Settings!$B$7),MIN(N225*Settings!$B$2,Settings!$B$3),0)</f>
        <v/>
      </c>
      <c r="R225" s="18">
        <f>IF(AND(I225="Won",P225&lt;&gt;""),O225*Settings!$B$4,0)</f>
        <v/>
      </c>
      <c r="S225" s="17" t="n"/>
    </row>
    <row r="226">
      <c r="A226" s="16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6" t="n"/>
      <c r="K226" s="16">
        <f>IF(OR(J226="",I226="Won",I226="Lost",I226="Not a fit",L226="Yes"),"",J226+Settings!$B$8)</f>
        <v/>
      </c>
      <c r="L226" s="17" t="n"/>
      <c r="M226" s="17" t="n"/>
      <c r="N226" s="18" t="n"/>
      <c r="O226" s="18" t="n"/>
      <c r="P226" s="17" t="n"/>
      <c r="Q226" s="18">
        <f>IF(AND(I226="Won",P226&lt;&gt;"",N226&gt;=Settings!$B$7),MIN(N226*Settings!$B$2,Settings!$B$3),0)</f>
        <v/>
      </c>
      <c r="R226" s="18">
        <f>IF(AND(I226="Won",P226&lt;&gt;""),O226*Settings!$B$4,0)</f>
        <v/>
      </c>
      <c r="S226" s="17" t="n"/>
    </row>
    <row r="227">
      <c r="A227" s="16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6" t="n"/>
      <c r="K227" s="16">
        <f>IF(OR(J227="",I227="Won",I227="Lost",I227="Not a fit",L227="Yes"),"",J227+Settings!$B$8)</f>
        <v/>
      </c>
      <c r="L227" s="17" t="n"/>
      <c r="M227" s="17" t="n"/>
      <c r="N227" s="18" t="n"/>
      <c r="O227" s="18" t="n"/>
      <c r="P227" s="17" t="n"/>
      <c r="Q227" s="18">
        <f>IF(AND(I227="Won",P227&lt;&gt;"",N227&gt;=Settings!$B$7),MIN(N227*Settings!$B$2,Settings!$B$3),0)</f>
        <v/>
      </c>
      <c r="R227" s="18">
        <f>IF(AND(I227="Won",P227&lt;&gt;""),O227*Settings!$B$4,0)</f>
        <v/>
      </c>
      <c r="S227" s="17" t="n"/>
    </row>
    <row r="228">
      <c r="A228" s="16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6" t="n"/>
      <c r="K228" s="16">
        <f>IF(OR(J228="",I228="Won",I228="Lost",I228="Not a fit",L228="Yes"),"",J228+Settings!$B$8)</f>
        <v/>
      </c>
      <c r="L228" s="17" t="n"/>
      <c r="M228" s="17" t="n"/>
      <c r="N228" s="18" t="n"/>
      <c r="O228" s="18" t="n"/>
      <c r="P228" s="17" t="n"/>
      <c r="Q228" s="18">
        <f>IF(AND(I228="Won",P228&lt;&gt;"",N228&gt;=Settings!$B$7),MIN(N228*Settings!$B$2,Settings!$B$3),0)</f>
        <v/>
      </c>
      <c r="R228" s="18">
        <f>IF(AND(I228="Won",P228&lt;&gt;""),O228*Settings!$B$4,0)</f>
        <v/>
      </c>
      <c r="S228" s="17" t="n"/>
    </row>
    <row r="229">
      <c r="A229" s="16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6" t="n"/>
      <c r="K229" s="16">
        <f>IF(OR(J229="",I229="Won",I229="Lost",I229="Not a fit",L229="Yes"),"",J229+Settings!$B$8)</f>
        <v/>
      </c>
      <c r="L229" s="17" t="n"/>
      <c r="M229" s="17" t="n"/>
      <c r="N229" s="18" t="n"/>
      <c r="O229" s="18" t="n"/>
      <c r="P229" s="17" t="n"/>
      <c r="Q229" s="18">
        <f>IF(AND(I229="Won",P229&lt;&gt;"",N229&gt;=Settings!$B$7),MIN(N229*Settings!$B$2,Settings!$B$3),0)</f>
        <v/>
      </c>
      <c r="R229" s="18">
        <f>IF(AND(I229="Won",P229&lt;&gt;""),O229*Settings!$B$4,0)</f>
        <v/>
      </c>
      <c r="S229" s="17" t="n"/>
    </row>
    <row r="230">
      <c r="A230" s="16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6" t="n"/>
      <c r="K230" s="16">
        <f>IF(OR(J230="",I230="Won",I230="Lost",I230="Not a fit",L230="Yes"),"",J230+Settings!$B$8)</f>
        <v/>
      </c>
      <c r="L230" s="17" t="n"/>
      <c r="M230" s="17" t="n"/>
      <c r="N230" s="18" t="n"/>
      <c r="O230" s="18" t="n"/>
      <c r="P230" s="17" t="n"/>
      <c r="Q230" s="18">
        <f>IF(AND(I230="Won",P230&lt;&gt;"",N230&gt;=Settings!$B$7),MIN(N230*Settings!$B$2,Settings!$B$3),0)</f>
        <v/>
      </c>
      <c r="R230" s="18">
        <f>IF(AND(I230="Won",P230&lt;&gt;""),O230*Settings!$B$4,0)</f>
        <v/>
      </c>
      <c r="S230" s="17" t="n"/>
    </row>
    <row r="231">
      <c r="A231" s="16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6" t="n"/>
      <c r="K231" s="16">
        <f>IF(OR(J231="",I231="Won",I231="Lost",I231="Not a fit",L231="Yes"),"",J231+Settings!$B$8)</f>
        <v/>
      </c>
      <c r="L231" s="17" t="n"/>
      <c r="M231" s="17" t="n"/>
      <c r="N231" s="18" t="n"/>
      <c r="O231" s="18" t="n"/>
      <c r="P231" s="17" t="n"/>
      <c r="Q231" s="18">
        <f>IF(AND(I231="Won",P231&lt;&gt;"",N231&gt;=Settings!$B$7),MIN(N231*Settings!$B$2,Settings!$B$3),0)</f>
        <v/>
      </c>
      <c r="R231" s="18">
        <f>IF(AND(I231="Won",P231&lt;&gt;""),O231*Settings!$B$4,0)</f>
        <v/>
      </c>
      <c r="S231" s="17" t="n"/>
    </row>
    <row r="232">
      <c r="A232" s="16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6" t="n"/>
      <c r="K232" s="16">
        <f>IF(OR(J232="",I232="Won",I232="Lost",I232="Not a fit",L232="Yes"),"",J232+Settings!$B$8)</f>
        <v/>
      </c>
      <c r="L232" s="17" t="n"/>
      <c r="M232" s="17" t="n"/>
      <c r="N232" s="18" t="n"/>
      <c r="O232" s="18" t="n"/>
      <c r="P232" s="17" t="n"/>
      <c r="Q232" s="18">
        <f>IF(AND(I232="Won",P232&lt;&gt;"",N232&gt;=Settings!$B$7),MIN(N232*Settings!$B$2,Settings!$B$3),0)</f>
        <v/>
      </c>
      <c r="R232" s="18">
        <f>IF(AND(I232="Won",P232&lt;&gt;""),O232*Settings!$B$4,0)</f>
        <v/>
      </c>
      <c r="S232" s="17" t="n"/>
    </row>
    <row r="233">
      <c r="A233" s="16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6" t="n"/>
      <c r="K233" s="16">
        <f>IF(OR(J233="",I233="Won",I233="Lost",I233="Not a fit",L233="Yes"),"",J233+Settings!$B$8)</f>
        <v/>
      </c>
      <c r="L233" s="17" t="n"/>
      <c r="M233" s="17" t="n"/>
      <c r="N233" s="18" t="n"/>
      <c r="O233" s="18" t="n"/>
      <c r="P233" s="17" t="n"/>
      <c r="Q233" s="18">
        <f>IF(AND(I233="Won",P233&lt;&gt;"",N233&gt;=Settings!$B$7),MIN(N233*Settings!$B$2,Settings!$B$3),0)</f>
        <v/>
      </c>
      <c r="R233" s="18">
        <f>IF(AND(I233="Won",P233&lt;&gt;""),O233*Settings!$B$4,0)</f>
        <v/>
      </c>
      <c r="S233" s="17" t="n"/>
    </row>
    <row r="234">
      <c r="A234" s="16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6" t="n"/>
      <c r="K234" s="16">
        <f>IF(OR(J234="",I234="Won",I234="Lost",I234="Not a fit",L234="Yes"),"",J234+Settings!$B$8)</f>
        <v/>
      </c>
      <c r="L234" s="17" t="n"/>
      <c r="M234" s="17" t="n"/>
      <c r="N234" s="18" t="n"/>
      <c r="O234" s="18" t="n"/>
      <c r="P234" s="17" t="n"/>
      <c r="Q234" s="18">
        <f>IF(AND(I234="Won",P234&lt;&gt;"",N234&gt;=Settings!$B$7),MIN(N234*Settings!$B$2,Settings!$B$3),0)</f>
        <v/>
      </c>
      <c r="R234" s="18">
        <f>IF(AND(I234="Won",P234&lt;&gt;""),O234*Settings!$B$4,0)</f>
        <v/>
      </c>
      <c r="S234" s="17" t="n"/>
    </row>
    <row r="235">
      <c r="A235" s="16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6" t="n"/>
      <c r="K235" s="16">
        <f>IF(OR(J235="",I235="Won",I235="Lost",I235="Not a fit",L235="Yes"),"",J235+Settings!$B$8)</f>
        <v/>
      </c>
      <c r="L235" s="17" t="n"/>
      <c r="M235" s="17" t="n"/>
      <c r="N235" s="18" t="n"/>
      <c r="O235" s="18" t="n"/>
      <c r="P235" s="17" t="n"/>
      <c r="Q235" s="18">
        <f>IF(AND(I235="Won",P235&lt;&gt;"",N235&gt;=Settings!$B$7),MIN(N235*Settings!$B$2,Settings!$B$3),0)</f>
        <v/>
      </c>
      <c r="R235" s="18">
        <f>IF(AND(I235="Won",P235&lt;&gt;""),O235*Settings!$B$4,0)</f>
        <v/>
      </c>
      <c r="S235" s="17" t="n"/>
    </row>
    <row r="236">
      <c r="A236" s="16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6" t="n"/>
      <c r="K236" s="16">
        <f>IF(OR(J236="",I236="Won",I236="Lost",I236="Not a fit",L236="Yes"),"",J236+Settings!$B$8)</f>
        <v/>
      </c>
      <c r="L236" s="17" t="n"/>
      <c r="M236" s="17" t="n"/>
      <c r="N236" s="18" t="n"/>
      <c r="O236" s="18" t="n"/>
      <c r="P236" s="17" t="n"/>
      <c r="Q236" s="18">
        <f>IF(AND(I236="Won",P236&lt;&gt;"",N236&gt;=Settings!$B$7),MIN(N236*Settings!$B$2,Settings!$B$3),0)</f>
        <v/>
      </c>
      <c r="R236" s="18">
        <f>IF(AND(I236="Won",P236&lt;&gt;""),O236*Settings!$B$4,0)</f>
        <v/>
      </c>
      <c r="S236" s="17" t="n"/>
    </row>
    <row r="237">
      <c r="A237" s="16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6" t="n"/>
      <c r="K237" s="16">
        <f>IF(OR(J237="",I237="Won",I237="Lost",I237="Not a fit",L237="Yes"),"",J237+Settings!$B$8)</f>
        <v/>
      </c>
      <c r="L237" s="17" t="n"/>
      <c r="M237" s="17" t="n"/>
      <c r="N237" s="18" t="n"/>
      <c r="O237" s="18" t="n"/>
      <c r="P237" s="17" t="n"/>
      <c r="Q237" s="18">
        <f>IF(AND(I237="Won",P237&lt;&gt;"",N237&gt;=Settings!$B$7),MIN(N237*Settings!$B$2,Settings!$B$3),0)</f>
        <v/>
      </c>
      <c r="R237" s="18">
        <f>IF(AND(I237="Won",P237&lt;&gt;""),O237*Settings!$B$4,0)</f>
        <v/>
      </c>
      <c r="S237" s="17" t="n"/>
    </row>
    <row r="238">
      <c r="A238" s="16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6" t="n"/>
      <c r="K238" s="16">
        <f>IF(OR(J238="",I238="Won",I238="Lost",I238="Not a fit",L238="Yes"),"",J238+Settings!$B$8)</f>
        <v/>
      </c>
      <c r="L238" s="17" t="n"/>
      <c r="M238" s="17" t="n"/>
      <c r="N238" s="18" t="n"/>
      <c r="O238" s="18" t="n"/>
      <c r="P238" s="17" t="n"/>
      <c r="Q238" s="18">
        <f>IF(AND(I238="Won",P238&lt;&gt;"",N238&gt;=Settings!$B$7),MIN(N238*Settings!$B$2,Settings!$B$3),0)</f>
        <v/>
      </c>
      <c r="R238" s="18">
        <f>IF(AND(I238="Won",P238&lt;&gt;""),O238*Settings!$B$4,0)</f>
        <v/>
      </c>
      <c r="S238" s="17" t="n"/>
    </row>
    <row r="239">
      <c r="A239" s="16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6" t="n"/>
      <c r="K239" s="16">
        <f>IF(OR(J239="",I239="Won",I239="Lost",I239="Not a fit",L239="Yes"),"",J239+Settings!$B$8)</f>
        <v/>
      </c>
      <c r="L239" s="17" t="n"/>
      <c r="M239" s="17" t="n"/>
      <c r="N239" s="18" t="n"/>
      <c r="O239" s="18" t="n"/>
      <c r="P239" s="17" t="n"/>
      <c r="Q239" s="18">
        <f>IF(AND(I239="Won",P239&lt;&gt;"",N239&gt;=Settings!$B$7),MIN(N239*Settings!$B$2,Settings!$B$3),0)</f>
        <v/>
      </c>
      <c r="R239" s="18">
        <f>IF(AND(I239="Won",P239&lt;&gt;""),O239*Settings!$B$4,0)</f>
        <v/>
      </c>
      <c r="S239" s="17" t="n"/>
    </row>
    <row r="240">
      <c r="A240" s="16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6" t="n"/>
      <c r="K240" s="16">
        <f>IF(OR(J240="",I240="Won",I240="Lost",I240="Not a fit",L240="Yes"),"",J240+Settings!$B$8)</f>
        <v/>
      </c>
      <c r="L240" s="17" t="n"/>
      <c r="M240" s="17" t="n"/>
      <c r="N240" s="18" t="n"/>
      <c r="O240" s="18" t="n"/>
      <c r="P240" s="17" t="n"/>
      <c r="Q240" s="18">
        <f>IF(AND(I240="Won",P240&lt;&gt;"",N240&gt;=Settings!$B$7),MIN(N240*Settings!$B$2,Settings!$B$3),0)</f>
        <v/>
      </c>
      <c r="R240" s="18">
        <f>IF(AND(I240="Won",P240&lt;&gt;""),O240*Settings!$B$4,0)</f>
        <v/>
      </c>
      <c r="S240" s="17" t="n"/>
    </row>
    <row r="241">
      <c r="A241" s="16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6" t="n"/>
      <c r="K241" s="16">
        <f>IF(OR(J241="",I241="Won",I241="Lost",I241="Not a fit",L241="Yes"),"",J241+Settings!$B$8)</f>
        <v/>
      </c>
      <c r="L241" s="17" t="n"/>
      <c r="M241" s="17" t="n"/>
      <c r="N241" s="18" t="n"/>
      <c r="O241" s="18" t="n"/>
      <c r="P241" s="17" t="n"/>
      <c r="Q241" s="18">
        <f>IF(AND(I241="Won",P241&lt;&gt;"",N241&gt;=Settings!$B$7),MIN(N241*Settings!$B$2,Settings!$B$3),0)</f>
        <v/>
      </c>
      <c r="R241" s="18">
        <f>IF(AND(I241="Won",P241&lt;&gt;""),O241*Settings!$B$4,0)</f>
        <v/>
      </c>
      <c r="S241" s="17" t="n"/>
    </row>
    <row r="242">
      <c r="A242" s="16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6" t="n"/>
      <c r="K242" s="16">
        <f>IF(OR(J242="",I242="Won",I242="Lost",I242="Not a fit",L242="Yes"),"",J242+Settings!$B$8)</f>
        <v/>
      </c>
      <c r="L242" s="17" t="n"/>
      <c r="M242" s="17" t="n"/>
      <c r="N242" s="18" t="n"/>
      <c r="O242" s="18" t="n"/>
      <c r="P242" s="17" t="n"/>
      <c r="Q242" s="18">
        <f>IF(AND(I242="Won",P242&lt;&gt;"",N242&gt;=Settings!$B$7),MIN(N242*Settings!$B$2,Settings!$B$3),0)</f>
        <v/>
      </c>
      <c r="R242" s="18">
        <f>IF(AND(I242="Won",P242&lt;&gt;""),O242*Settings!$B$4,0)</f>
        <v/>
      </c>
      <c r="S242" s="17" t="n"/>
    </row>
    <row r="243">
      <c r="A243" s="16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6" t="n"/>
      <c r="K243" s="16">
        <f>IF(OR(J243="",I243="Won",I243="Lost",I243="Not a fit",L243="Yes"),"",J243+Settings!$B$8)</f>
        <v/>
      </c>
      <c r="L243" s="17" t="n"/>
      <c r="M243" s="17" t="n"/>
      <c r="N243" s="18" t="n"/>
      <c r="O243" s="18" t="n"/>
      <c r="P243" s="17" t="n"/>
      <c r="Q243" s="18">
        <f>IF(AND(I243="Won",P243&lt;&gt;"",N243&gt;=Settings!$B$7),MIN(N243*Settings!$B$2,Settings!$B$3),0)</f>
        <v/>
      </c>
      <c r="R243" s="18">
        <f>IF(AND(I243="Won",P243&lt;&gt;""),O243*Settings!$B$4,0)</f>
        <v/>
      </c>
      <c r="S243" s="17" t="n"/>
    </row>
    <row r="244">
      <c r="A244" s="16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6" t="n"/>
      <c r="K244" s="16">
        <f>IF(OR(J244="",I244="Won",I244="Lost",I244="Not a fit",L244="Yes"),"",J244+Settings!$B$8)</f>
        <v/>
      </c>
      <c r="L244" s="17" t="n"/>
      <c r="M244" s="17" t="n"/>
      <c r="N244" s="18" t="n"/>
      <c r="O244" s="18" t="n"/>
      <c r="P244" s="17" t="n"/>
      <c r="Q244" s="18">
        <f>IF(AND(I244="Won",P244&lt;&gt;"",N244&gt;=Settings!$B$7),MIN(N244*Settings!$B$2,Settings!$B$3),0)</f>
        <v/>
      </c>
      <c r="R244" s="18">
        <f>IF(AND(I244="Won",P244&lt;&gt;""),O244*Settings!$B$4,0)</f>
        <v/>
      </c>
      <c r="S244" s="17" t="n"/>
    </row>
    <row r="245">
      <c r="A245" s="16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6" t="n"/>
      <c r="K245" s="16">
        <f>IF(OR(J245="",I245="Won",I245="Lost",I245="Not a fit",L245="Yes"),"",J245+Settings!$B$8)</f>
        <v/>
      </c>
      <c r="L245" s="17" t="n"/>
      <c r="M245" s="17" t="n"/>
      <c r="N245" s="18" t="n"/>
      <c r="O245" s="18" t="n"/>
      <c r="P245" s="17" t="n"/>
      <c r="Q245" s="18">
        <f>IF(AND(I245="Won",P245&lt;&gt;"",N245&gt;=Settings!$B$7),MIN(N245*Settings!$B$2,Settings!$B$3),0)</f>
        <v/>
      </c>
      <c r="R245" s="18">
        <f>IF(AND(I245="Won",P245&lt;&gt;""),O245*Settings!$B$4,0)</f>
        <v/>
      </c>
      <c r="S245" s="17" t="n"/>
    </row>
    <row r="246">
      <c r="A246" s="16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6" t="n"/>
      <c r="K246" s="16">
        <f>IF(OR(J246="",I246="Won",I246="Lost",I246="Not a fit",L246="Yes"),"",J246+Settings!$B$8)</f>
        <v/>
      </c>
      <c r="L246" s="17" t="n"/>
      <c r="M246" s="17" t="n"/>
      <c r="N246" s="18" t="n"/>
      <c r="O246" s="18" t="n"/>
      <c r="P246" s="17" t="n"/>
      <c r="Q246" s="18">
        <f>IF(AND(I246="Won",P246&lt;&gt;"",N246&gt;=Settings!$B$7),MIN(N246*Settings!$B$2,Settings!$B$3),0)</f>
        <v/>
      </c>
      <c r="R246" s="18">
        <f>IF(AND(I246="Won",P246&lt;&gt;""),O246*Settings!$B$4,0)</f>
        <v/>
      </c>
      <c r="S246" s="17" t="n"/>
    </row>
    <row r="247">
      <c r="A247" s="16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6" t="n"/>
      <c r="K247" s="16">
        <f>IF(OR(J247="",I247="Won",I247="Lost",I247="Not a fit",L247="Yes"),"",J247+Settings!$B$8)</f>
        <v/>
      </c>
      <c r="L247" s="17" t="n"/>
      <c r="M247" s="17" t="n"/>
      <c r="N247" s="18" t="n"/>
      <c r="O247" s="18" t="n"/>
      <c r="P247" s="17" t="n"/>
      <c r="Q247" s="18">
        <f>IF(AND(I247="Won",P247&lt;&gt;"",N247&gt;=Settings!$B$7),MIN(N247*Settings!$B$2,Settings!$B$3),0)</f>
        <v/>
      </c>
      <c r="R247" s="18">
        <f>IF(AND(I247="Won",P247&lt;&gt;""),O247*Settings!$B$4,0)</f>
        <v/>
      </c>
      <c r="S247" s="17" t="n"/>
    </row>
    <row r="248">
      <c r="A248" s="16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6" t="n"/>
      <c r="K248" s="16">
        <f>IF(OR(J248="",I248="Won",I248="Lost",I248="Not a fit",L248="Yes"),"",J248+Settings!$B$8)</f>
        <v/>
      </c>
      <c r="L248" s="17" t="n"/>
      <c r="M248" s="17" t="n"/>
      <c r="N248" s="18" t="n"/>
      <c r="O248" s="18" t="n"/>
      <c r="P248" s="17" t="n"/>
      <c r="Q248" s="18">
        <f>IF(AND(I248="Won",P248&lt;&gt;"",N248&gt;=Settings!$B$7),MIN(N248*Settings!$B$2,Settings!$B$3),0)</f>
        <v/>
      </c>
      <c r="R248" s="18">
        <f>IF(AND(I248="Won",P248&lt;&gt;""),O248*Settings!$B$4,0)</f>
        <v/>
      </c>
      <c r="S248" s="17" t="n"/>
    </row>
    <row r="249">
      <c r="A249" s="16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6" t="n"/>
      <c r="K249" s="16">
        <f>IF(OR(J249="",I249="Won",I249="Lost",I249="Not a fit",L249="Yes"),"",J249+Settings!$B$8)</f>
        <v/>
      </c>
      <c r="L249" s="17" t="n"/>
      <c r="M249" s="17" t="n"/>
      <c r="N249" s="18" t="n"/>
      <c r="O249" s="18" t="n"/>
      <c r="P249" s="17" t="n"/>
      <c r="Q249" s="18">
        <f>IF(AND(I249="Won",P249&lt;&gt;"",N249&gt;=Settings!$B$7),MIN(N249*Settings!$B$2,Settings!$B$3),0)</f>
        <v/>
      </c>
      <c r="R249" s="18">
        <f>IF(AND(I249="Won",P249&lt;&gt;""),O249*Settings!$B$4,0)</f>
        <v/>
      </c>
      <c r="S249" s="17" t="n"/>
    </row>
    <row r="250">
      <c r="A250" s="16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6" t="n"/>
      <c r="K250" s="16">
        <f>IF(OR(J250="",I250="Won",I250="Lost",I250="Not a fit",L250="Yes"),"",J250+Settings!$B$8)</f>
        <v/>
      </c>
      <c r="L250" s="17" t="n"/>
      <c r="M250" s="17" t="n"/>
      <c r="N250" s="18" t="n"/>
      <c r="O250" s="18" t="n"/>
      <c r="P250" s="17" t="n"/>
      <c r="Q250" s="18">
        <f>IF(AND(I250="Won",P250&lt;&gt;"",N250&gt;=Settings!$B$7),MIN(N250*Settings!$B$2,Settings!$B$3),0)</f>
        <v/>
      </c>
      <c r="R250" s="18">
        <f>IF(AND(I250="Won",P250&lt;&gt;""),O250*Settings!$B$4,0)</f>
        <v/>
      </c>
      <c r="S250" s="17" t="n"/>
    </row>
    <row r="251">
      <c r="A251" s="16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6" t="n"/>
      <c r="K251" s="16">
        <f>IF(OR(J251="",I251="Won",I251="Lost",I251="Not a fit",L251="Yes"),"",J251+Settings!$B$8)</f>
        <v/>
      </c>
      <c r="L251" s="17" t="n"/>
      <c r="M251" s="17" t="n"/>
      <c r="N251" s="18" t="n"/>
      <c r="O251" s="18" t="n"/>
      <c r="P251" s="17" t="n"/>
      <c r="Q251" s="18">
        <f>IF(AND(I251="Won",P251&lt;&gt;"",N251&gt;=Settings!$B$7),MIN(N251*Settings!$B$2,Settings!$B$3),0)</f>
        <v/>
      </c>
      <c r="R251" s="18">
        <f>IF(AND(I251="Won",P251&lt;&gt;""),O251*Settings!$B$4,0)</f>
        <v/>
      </c>
      <c r="S251" s="17" t="n"/>
    </row>
    <row r="252">
      <c r="A252" s="16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6" t="n"/>
      <c r="K252" s="16">
        <f>IF(OR(J252="",I252="Won",I252="Lost",I252="Not a fit",L252="Yes"),"",J252+Settings!$B$8)</f>
        <v/>
      </c>
      <c r="L252" s="17" t="n"/>
      <c r="M252" s="17" t="n"/>
      <c r="N252" s="18" t="n"/>
      <c r="O252" s="18" t="n"/>
      <c r="P252" s="17" t="n"/>
      <c r="Q252" s="18">
        <f>IF(AND(I252="Won",P252&lt;&gt;"",N252&gt;=Settings!$B$7),MIN(N252*Settings!$B$2,Settings!$B$3),0)</f>
        <v/>
      </c>
      <c r="R252" s="18">
        <f>IF(AND(I252="Won",P252&lt;&gt;""),O252*Settings!$B$4,0)</f>
        <v/>
      </c>
      <c r="S252" s="17" t="n"/>
    </row>
    <row r="253">
      <c r="A253" s="16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6" t="n"/>
      <c r="K253" s="16">
        <f>IF(OR(J253="",I253="Won",I253="Lost",I253="Not a fit",L253="Yes"),"",J253+Settings!$B$8)</f>
        <v/>
      </c>
      <c r="L253" s="17" t="n"/>
      <c r="M253" s="17" t="n"/>
      <c r="N253" s="18" t="n"/>
      <c r="O253" s="18" t="n"/>
      <c r="P253" s="17" t="n"/>
      <c r="Q253" s="18">
        <f>IF(AND(I253="Won",P253&lt;&gt;"",N253&gt;=Settings!$B$7),MIN(N253*Settings!$B$2,Settings!$B$3),0)</f>
        <v/>
      </c>
      <c r="R253" s="18">
        <f>IF(AND(I253="Won",P253&lt;&gt;""),O253*Settings!$B$4,0)</f>
        <v/>
      </c>
      <c r="S253" s="17" t="n"/>
    </row>
    <row r="254">
      <c r="A254" s="16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6" t="n"/>
      <c r="K254" s="16">
        <f>IF(OR(J254="",I254="Won",I254="Lost",I254="Not a fit",L254="Yes"),"",J254+Settings!$B$8)</f>
        <v/>
      </c>
      <c r="L254" s="17" t="n"/>
      <c r="M254" s="17" t="n"/>
      <c r="N254" s="18" t="n"/>
      <c r="O254" s="18" t="n"/>
      <c r="P254" s="17" t="n"/>
      <c r="Q254" s="18">
        <f>IF(AND(I254="Won",P254&lt;&gt;"",N254&gt;=Settings!$B$7),MIN(N254*Settings!$B$2,Settings!$B$3),0)</f>
        <v/>
      </c>
      <c r="R254" s="18">
        <f>IF(AND(I254="Won",P254&lt;&gt;""),O254*Settings!$B$4,0)</f>
        <v/>
      </c>
      <c r="S254" s="17" t="n"/>
    </row>
    <row r="255">
      <c r="A255" s="16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6" t="n"/>
      <c r="K255" s="16">
        <f>IF(OR(J255="",I255="Won",I255="Lost",I255="Not a fit",L255="Yes"),"",J255+Settings!$B$8)</f>
        <v/>
      </c>
      <c r="L255" s="17" t="n"/>
      <c r="M255" s="17" t="n"/>
      <c r="N255" s="18" t="n"/>
      <c r="O255" s="18" t="n"/>
      <c r="P255" s="17" t="n"/>
      <c r="Q255" s="18">
        <f>IF(AND(I255="Won",P255&lt;&gt;"",N255&gt;=Settings!$B$7),MIN(N255*Settings!$B$2,Settings!$B$3),0)</f>
        <v/>
      </c>
      <c r="R255" s="18">
        <f>IF(AND(I255="Won",P255&lt;&gt;""),O255*Settings!$B$4,0)</f>
        <v/>
      </c>
      <c r="S255" s="17" t="n"/>
    </row>
    <row r="256">
      <c r="A256" s="16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6" t="n"/>
      <c r="K256" s="16">
        <f>IF(OR(J256="",I256="Won",I256="Lost",I256="Not a fit",L256="Yes"),"",J256+Settings!$B$8)</f>
        <v/>
      </c>
      <c r="L256" s="17" t="n"/>
      <c r="M256" s="17" t="n"/>
      <c r="N256" s="18" t="n"/>
      <c r="O256" s="18" t="n"/>
      <c r="P256" s="17" t="n"/>
      <c r="Q256" s="18">
        <f>IF(AND(I256="Won",P256&lt;&gt;"",N256&gt;=Settings!$B$7),MIN(N256*Settings!$B$2,Settings!$B$3),0)</f>
        <v/>
      </c>
      <c r="R256" s="18">
        <f>IF(AND(I256="Won",P256&lt;&gt;""),O256*Settings!$B$4,0)</f>
        <v/>
      </c>
      <c r="S256" s="17" t="n"/>
    </row>
    <row r="257">
      <c r="A257" s="16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6" t="n"/>
      <c r="K257" s="16">
        <f>IF(OR(J257="",I257="Won",I257="Lost",I257="Not a fit",L257="Yes"),"",J257+Settings!$B$8)</f>
        <v/>
      </c>
      <c r="L257" s="17" t="n"/>
      <c r="M257" s="17" t="n"/>
      <c r="N257" s="18" t="n"/>
      <c r="O257" s="18" t="n"/>
      <c r="P257" s="17" t="n"/>
      <c r="Q257" s="18">
        <f>IF(AND(I257="Won",P257&lt;&gt;"",N257&gt;=Settings!$B$7),MIN(N257*Settings!$B$2,Settings!$B$3),0)</f>
        <v/>
      </c>
      <c r="R257" s="18">
        <f>IF(AND(I257="Won",P257&lt;&gt;""),O257*Settings!$B$4,0)</f>
        <v/>
      </c>
      <c r="S257" s="17" t="n"/>
    </row>
    <row r="258">
      <c r="A258" s="16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6" t="n"/>
      <c r="K258" s="16">
        <f>IF(OR(J258="",I258="Won",I258="Lost",I258="Not a fit",L258="Yes"),"",J258+Settings!$B$8)</f>
        <v/>
      </c>
      <c r="L258" s="17" t="n"/>
      <c r="M258" s="17" t="n"/>
      <c r="N258" s="18" t="n"/>
      <c r="O258" s="18" t="n"/>
      <c r="P258" s="17" t="n"/>
      <c r="Q258" s="18">
        <f>IF(AND(I258="Won",P258&lt;&gt;"",N258&gt;=Settings!$B$7),MIN(N258*Settings!$B$2,Settings!$B$3),0)</f>
        <v/>
      </c>
      <c r="R258" s="18">
        <f>IF(AND(I258="Won",P258&lt;&gt;""),O258*Settings!$B$4,0)</f>
        <v/>
      </c>
      <c r="S258" s="17" t="n"/>
    </row>
    <row r="259">
      <c r="A259" s="16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6" t="n"/>
      <c r="K259" s="16">
        <f>IF(OR(J259="",I259="Won",I259="Lost",I259="Not a fit",L259="Yes"),"",J259+Settings!$B$8)</f>
        <v/>
      </c>
      <c r="L259" s="17" t="n"/>
      <c r="M259" s="17" t="n"/>
      <c r="N259" s="18" t="n"/>
      <c r="O259" s="18" t="n"/>
      <c r="P259" s="17" t="n"/>
      <c r="Q259" s="18">
        <f>IF(AND(I259="Won",P259&lt;&gt;"",N259&gt;=Settings!$B$7),MIN(N259*Settings!$B$2,Settings!$B$3),0)</f>
        <v/>
      </c>
      <c r="R259" s="18">
        <f>IF(AND(I259="Won",P259&lt;&gt;""),O259*Settings!$B$4,0)</f>
        <v/>
      </c>
      <c r="S259" s="17" t="n"/>
    </row>
    <row r="260">
      <c r="A260" s="16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6" t="n"/>
      <c r="K260" s="16">
        <f>IF(OR(J260="",I260="Won",I260="Lost",I260="Not a fit",L260="Yes"),"",J260+Settings!$B$8)</f>
        <v/>
      </c>
      <c r="L260" s="17" t="n"/>
      <c r="M260" s="17" t="n"/>
      <c r="N260" s="18" t="n"/>
      <c r="O260" s="18" t="n"/>
      <c r="P260" s="17" t="n"/>
      <c r="Q260" s="18">
        <f>IF(AND(I260="Won",P260&lt;&gt;"",N260&gt;=Settings!$B$7),MIN(N260*Settings!$B$2,Settings!$B$3),0)</f>
        <v/>
      </c>
      <c r="R260" s="18">
        <f>IF(AND(I260="Won",P260&lt;&gt;""),O260*Settings!$B$4,0)</f>
        <v/>
      </c>
      <c r="S260" s="17" t="n"/>
    </row>
    <row r="261">
      <c r="A261" s="16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6" t="n"/>
      <c r="K261" s="16">
        <f>IF(OR(J261="",I261="Won",I261="Lost",I261="Not a fit",L261="Yes"),"",J261+Settings!$B$8)</f>
        <v/>
      </c>
      <c r="L261" s="17" t="n"/>
      <c r="M261" s="17" t="n"/>
      <c r="N261" s="18" t="n"/>
      <c r="O261" s="18" t="n"/>
      <c r="P261" s="17" t="n"/>
      <c r="Q261" s="18">
        <f>IF(AND(I261="Won",P261&lt;&gt;"",N261&gt;=Settings!$B$7),MIN(N261*Settings!$B$2,Settings!$B$3),0)</f>
        <v/>
      </c>
      <c r="R261" s="18">
        <f>IF(AND(I261="Won",P261&lt;&gt;""),O261*Settings!$B$4,0)</f>
        <v/>
      </c>
      <c r="S261" s="17" t="n"/>
    </row>
    <row r="262">
      <c r="A262" s="16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6" t="n"/>
      <c r="K262" s="16">
        <f>IF(OR(J262="",I262="Won",I262="Lost",I262="Not a fit",L262="Yes"),"",J262+Settings!$B$8)</f>
        <v/>
      </c>
      <c r="L262" s="17" t="n"/>
      <c r="M262" s="17" t="n"/>
      <c r="N262" s="18" t="n"/>
      <c r="O262" s="18" t="n"/>
      <c r="P262" s="17" t="n"/>
      <c r="Q262" s="18">
        <f>IF(AND(I262="Won",P262&lt;&gt;"",N262&gt;=Settings!$B$7),MIN(N262*Settings!$B$2,Settings!$B$3),0)</f>
        <v/>
      </c>
      <c r="R262" s="18">
        <f>IF(AND(I262="Won",P262&lt;&gt;""),O262*Settings!$B$4,0)</f>
        <v/>
      </c>
      <c r="S262" s="17" t="n"/>
    </row>
    <row r="263">
      <c r="A263" s="16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6" t="n"/>
      <c r="K263" s="16">
        <f>IF(OR(J263="",I263="Won",I263="Lost",I263="Not a fit",L263="Yes"),"",J263+Settings!$B$8)</f>
        <v/>
      </c>
      <c r="L263" s="17" t="n"/>
      <c r="M263" s="17" t="n"/>
      <c r="N263" s="18" t="n"/>
      <c r="O263" s="18" t="n"/>
      <c r="P263" s="17" t="n"/>
      <c r="Q263" s="18">
        <f>IF(AND(I263="Won",P263&lt;&gt;"",N263&gt;=Settings!$B$7),MIN(N263*Settings!$B$2,Settings!$B$3),0)</f>
        <v/>
      </c>
      <c r="R263" s="18">
        <f>IF(AND(I263="Won",P263&lt;&gt;""),O263*Settings!$B$4,0)</f>
        <v/>
      </c>
      <c r="S263" s="17" t="n"/>
    </row>
    <row r="264">
      <c r="A264" s="16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6" t="n"/>
      <c r="K264" s="16">
        <f>IF(OR(J264="",I264="Won",I264="Lost",I264="Not a fit",L264="Yes"),"",J264+Settings!$B$8)</f>
        <v/>
      </c>
      <c r="L264" s="17" t="n"/>
      <c r="M264" s="17" t="n"/>
      <c r="N264" s="18" t="n"/>
      <c r="O264" s="18" t="n"/>
      <c r="P264" s="17" t="n"/>
      <c r="Q264" s="18">
        <f>IF(AND(I264="Won",P264&lt;&gt;"",N264&gt;=Settings!$B$7),MIN(N264*Settings!$B$2,Settings!$B$3),0)</f>
        <v/>
      </c>
      <c r="R264" s="18">
        <f>IF(AND(I264="Won",P264&lt;&gt;""),O264*Settings!$B$4,0)</f>
        <v/>
      </c>
      <c r="S264" s="17" t="n"/>
    </row>
    <row r="265">
      <c r="A265" s="16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6" t="n"/>
      <c r="K265" s="16">
        <f>IF(OR(J265="",I265="Won",I265="Lost",I265="Not a fit",L265="Yes"),"",J265+Settings!$B$8)</f>
        <v/>
      </c>
      <c r="L265" s="17" t="n"/>
      <c r="M265" s="17" t="n"/>
      <c r="N265" s="18" t="n"/>
      <c r="O265" s="18" t="n"/>
      <c r="P265" s="17" t="n"/>
      <c r="Q265" s="18">
        <f>IF(AND(I265="Won",P265&lt;&gt;"",N265&gt;=Settings!$B$7),MIN(N265*Settings!$B$2,Settings!$B$3),0)</f>
        <v/>
      </c>
      <c r="R265" s="18">
        <f>IF(AND(I265="Won",P265&lt;&gt;""),O265*Settings!$B$4,0)</f>
        <v/>
      </c>
      <c r="S265" s="17" t="n"/>
    </row>
    <row r="266">
      <c r="A266" s="16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6" t="n"/>
      <c r="K266" s="16">
        <f>IF(OR(J266="",I266="Won",I266="Lost",I266="Not a fit",L266="Yes"),"",J266+Settings!$B$8)</f>
        <v/>
      </c>
      <c r="L266" s="17" t="n"/>
      <c r="M266" s="17" t="n"/>
      <c r="N266" s="18" t="n"/>
      <c r="O266" s="18" t="n"/>
      <c r="P266" s="17" t="n"/>
      <c r="Q266" s="18">
        <f>IF(AND(I266="Won",P266&lt;&gt;"",N266&gt;=Settings!$B$7),MIN(N266*Settings!$B$2,Settings!$B$3),0)</f>
        <v/>
      </c>
      <c r="R266" s="18">
        <f>IF(AND(I266="Won",P266&lt;&gt;""),O266*Settings!$B$4,0)</f>
        <v/>
      </c>
      <c r="S266" s="17" t="n"/>
    </row>
    <row r="267">
      <c r="A267" s="16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6" t="n"/>
      <c r="K267" s="16">
        <f>IF(OR(J267="",I267="Won",I267="Lost",I267="Not a fit",L267="Yes"),"",J267+Settings!$B$8)</f>
        <v/>
      </c>
      <c r="L267" s="17" t="n"/>
      <c r="M267" s="17" t="n"/>
      <c r="N267" s="18" t="n"/>
      <c r="O267" s="18" t="n"/>
      <c r="P267" s="17" t="n"/>
      <c r="Q267" s="18">
        <f>IF(AND(I267="Won",P267&lt;&gt;"",N267&gt;=Settings!$B$7),MIN(N267*Settings!$B$2,Settings!$B$3),0)</f>
        <v/>
      </c>
      <c r="R267" s="18">
        <f>IF(AND(I267="Won",P267&lt;&gt;""),O267*Settings!$B$4,0)</f>
        <v/>
      </c>
      <c r="S267" s="17" t="n"/>
    </row>
    <row r="268">
      <c r="A268" s="16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6" t="n"/>
      <c r="K268" s="16">
        <f>IF(OR(J268="",I268="Won",I268="Lost",I268="Not a fit",L268="Yes"),"",J268+Settings!$B$8)</f>
        <v/>
      </c>
      <c r="L268" s="17" t="n"/>
      <c r="M268" s="17" t="n"/>
      <c r="N268" s="18" t="n"/>
      <c r="O268" s="18" t="n"/>
      <c r="P268" s="17" t="n"/>
      <c r="Q268" s="18">
        <f>IF(AND(I268="Won",P268&lt;&gt;"",N268&gt;=Settings!$B$7),MIN(N268*Settings!$B$2,Settings!$B$3),0)</f>
        <v/>
      </c>
      <c r="R268" s="18">
        <f>IF(AND(I268="Won",P268&lt;&gt;""),O268*Settings!$B$4,0)</f>
        <v/>
      </c>
      <c r="S268" s="17" t="n"/>
    </row>
    <row r="269">
      <c r="A269" s="16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6" t="n"/>
      <c r="K269" s="16">
        <f>IF(OR(J269="",I269="Won",I269="Lost",I269="Not a fit",L269="Yes"),"",J269+Settings!$B$8)</f>
        <v/>
      </c>
      <c r="L269" s="17" t="n"/>
      <c r="M269" s="17" t="n"/>
      <c r="N269" s="18" t="n"/>
      <c r="O269" s="18" t="n"/>
      <c r="P269" s="17" t="n"/>
      <c r="Q269" s="18">
        <f>IF(AND(I269="Won",P269&lt;&gt;"",N269&gt;=Settings!$B$7),MIN(N269*Settings!$B$2,Settings!$B$3),0)</f>
        <v/>
      </c>
      <c r="R269" s="18">
        <f>IF(AND(I269="Won",P269&lt;&gt;""),O269*Settings!$B$4,0)</f>
        <v/>
      </c>
      <c r="S269" s="17" t="n"/>
    </row>
    <row r="270">
      <c r="A270" s="16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6" t="n"/>
      <c r="K270" s="16">
        <f>IF(OR(J270="",I270="Won",I270="Lost",I270="Not a fit",L270="Yes"),"",J270+Settings!$B$8)</f>
        <v/>
      </c>
      <c r="L270" s="17" t="n"/>
      <c r="M270" s="17" t="n"/>
      <c r="N270" s="18" t="n"/>
      <c r="O270" s="18" t="n"/>
      <c r="P270" s="17" t="n"/>
      <c r="Q270" s="18">
        <f>IF(AND(I270="Won",P270&lt;&gt;"",N270&gt;=Settings!$B$7),MIN(N270*Settings!$B$2,Settings!$B$3),0)</f>
        <v/>
      </c>
      <c r="R270" s="18">
        <f>IF(AND(I270="Won",P270&lt;&gt;""),O270*Settings!$B$4,0)</f>
        <v/>
      </c>
      <c r="S270" s="17" t="n"/>
    </row>
    <row r="271">
      <c r="A271" s="16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6" t="n"/>
      <c r="K271" s="16">
        <f>IF(OR(J271="",I271="Won",I271="Lost",I271="Not a fit",L271="Yes"),"",J271+Settings!$B$8)</f>
        <v/>
      </c>
      <c r="L271" s="17" t="n"/>
      <c r="M271" s="17" t="n"/>
      <c r="N271" s="18" t="n"/>
      <c r="O271" s="18" t="n"/>
      <c r="P271" s="17" t="n"/>
      <c r="Q271" s="18">
        <f>IF(AND(I271="Won",P271&lt;&gt;"",N271&gt;=Settings!$B$7),MIN(N271*Settings!$B$2,Settings!$B$3),0)</f>
        <v/>
      </c>
      <c r="R271" s="18">
        <f>IF(AND(I271="Won",P271&lt;&gt;""),O271*Settings!$B$4,0)</f>
        <v/>
      </c>
      <c r="S271" s="17" t="n"/>
    </row>
    <row r="272">
      <c r="A272" s="16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6" t="n"/>
      <c r="K272" s="16">
        <f>IF(OR(J272="",I272="Won",I272="Lost",I272="Not a fit",L272="Yes"),"",J272+Settings!$B$8)</f>
        <v/>
      </c>
      <c r="L272" s="17" t="n"/>
      <c r="M272" s="17" t="n"/>
      <c r="N272" s="18" t="n"/>
      <c r="O272" s="18" t="n"/>
      <c r="P272" s="17" t="n"/>
      <c r="Q272" s="18">
        <f>IF(AND(I272="Won",P272&lt;&gt;"",N272&gt;=Settings!$B$7),MIN(N272*Settings!$B$2,Settings!$B$3),0)</f>
        <v/>
      </c>
      <c r="R272" s="18">
        <f>IF(AND(I272="Won",P272&lt;&gt;""),O272*Settings!$B$4,0)</f>
        <v/>
      </c>
      <c r="S272" s="17" t="n"/>
    </row>
    <row r="273">
      <c r="A273" s="16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6" t="n"/>
      <c r="K273" s="16">
        <f>IF(OR(J273="",I273="Won",I273="Lost",I273="Not a fit",L273="Yes"),"",J273+Settings!$B$8)</f>
        <v/>
      </c>
      <c r="L273" s="17" t="n"/>
      <c r="M273" s="17" t="n"/>
      <c r="N273" s="18" t="n"/>
      <c r="O273" s="18" t="n"/>
      <c r="P273" s="17" t="n"/>
      <c r="Q273" s="18">
        <f>IF(AND(I273="Won",P273&lt;&gt;"",N273&gt;=Settings!$B$7),MIN(N273*Settings!$B$2,Settings!$B$3),0)</f>
        <v/>
      </c>
      <c r="R273" s="18">
        <f>IF(AND(I273="Won",P273&lt;&gt;""),O273*Settings!$B$4,0)</f>
        <v/>
      </c>
      <c r="S273" s="17" t="n"/>
    </row>
    <row r="274">
      <c r="A274" s="16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6" t="n"/>
      <c r="K274" s="16">
        <f>IF(OR(J274="",I274="Won",I274="Lost",I274="Not a fit",L274="Yes"),"",J274+Settings!$B$8)</f>
        <v/>
      </c>
      <c r="L274" s="17" t="n"/>
      <c r="M274" s="17" t="n"/>
      <c r="N274" s="18" t="n"/>
      <c r="O274" s="18" t="n"/>
      <c r="P274" s="17" t="n"/>
      <c r="Q274" s="18">
        <f>IF(AND(I274="Won",P274&lt;&gt;"",N274&gt;=Settings!$B$7),MIN(N274*Settings!$B$2,Settings!$B$3),0)</f>
        <v/>
      </c>
      <c r="R274" s="18">
        <f>IF(AND(I274="Won",P274&lt;&gt;""),O274*Settings!$B$4,0)</f>
        <v/>
      </c>
      <c r="S274" s="17" t="n"/>
    </row>
    <row r="275">
      <c r="A275" s="16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6" t="n"/>
      <c r="K275" s="16">
        <f>IF(OR(J275="",I275="Won",I275="Lost",I275="Not a fit",L275="Yes"),"",J275+Settings!$B$8)</f>
        <v/>
      </c>
      <c r="L275" s="17" t="n"/>
      <c r="M275" s="17" t="n"/>
      <c r="N275" s="18" t="n"/>
      <c r="O275" s="18" t="n"/>
      <c r="P275" s="17" t="n"/>
      <c r="Q275" s="18">
        <f>IF(AND(I275="Won",P275&lt;&gt;"",N275&gt;=Settings!$B$7),MIN(N275*Settings!$B$2,Settings!$B$3),0)</f>
        <v/>
      </c>
      <c r="R275" s="18">
        <f>IF(AND(I275="Won",P275&lt;&gt;""),O275*Settings!$B$4,0)</f>
        <v/>
      </c>
      <c r="S275" s="17" t="n"/>
    </row>
    <row r="276">
      <c r="A276" s="16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6" t="n"/>
      <c r="K276" s="16">
        <f>IF(OR(J276="",I276="Won",I276="Lost",I276="Not a fit",L276="Yes"),"",J276+Settings!$B$8)</f>
        <v/>
      </c>
      <c r="L276" s="17" t="n"/>
      <c r="M276" s="17" t="n"/>
      <c r="N276" s="18" t="n"/>
      <c r="O276" s="18" t="n"/>
      <c r="P276" s="17" t="n"/>
      <c r="Q276" s="18">
        <f>IF(AND(I276="Won",P276&lt;&gt;"",N276&gt;=Settings!$B$7),MIN(N276*Settings!$B$2,Settings!$B$3),0)</f>
        <v/>
      </c>
      <c r="R276" s="18">
        <f>IF(AND(I276="Won",P276&lt;&gt;""),O276*Settings!$B$4,0)</f>
        <v/>
      </c>
      <c r="S276" s="17" t="n"/>
    </row>
    <row r="277">
      <c r="A277" s="16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6" t="n"/>
      <c r="K277" s="16">
        <f>IF(OR(J277="",I277="Won",I277="Lost",I277="Not a fit",L277="Yes"),"",J277+Settings!$B$8)</f>
        <v/>
      </c>
      <c r="L277" s="17" t="n"/>
      <c r="M277" s="17" t="n"/>
      <c r="N277" s="18" t="n"/>
      <c r="O277" s="18" t="n"/>
      <c r="P277" s="17" t="n"/>
      <c r="Q277" s="18">
        <f>IF(AND(I277="Won",P277&lt;&gt;"",N277&gt;=Settings!$B$7),MIN(N277*Settings!$B$2,Settings!$B$3),0)</f>
        <v/>
      </c>
      <c r="R277" s="18">
        <f>IF(AND(I277="Won",P277&lt;&gt;""),O277*Settings!$B$4,0)</f>
        <v/>
      </c>
      <c r="S277" s="17" t="n"/>
    </row>
    <row r="278">
      <c r="A278" s="16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6" t="n"/>
      <c r="K278" s="16">
        <f>IF(OR(J278="",I278="Won",I278="Lost",I278="Not a fit",L278="Yes"),"",J278+Settings!$B$8)</f>
        <v/>
      </c>
      <c r="L278" s="17" t="n"/>
      <c r="M278" s="17" t="n"/>
      <c r="N278" s="18" t="n"/>
      <c r="O278" s="18" t="n"/>
      <c r="P278" s="17" t="n"/>
      <c r="Q278" s="18">
        <f>IF(AND(I278="Won",P278&lt;&gt;"",N278&gt;=Settings!$B$7),MIN(N278*Settings!$B$2,Settings!$B$3),0)</f>
        <v/>
      </c>
      <c r="R278" s="18">
        <f>IF(AND(I278="Won",P278&lt;&gt;""),O278*Settings!$B$4,0)</f>
        <v/>
      </c>
      <c r="S278" s="17" t="n"/>
    </row>
    <row r="279">
      <c r="A279" s="16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6" t="n"/>
      <c r="K279" s="16">
        <f>IF(OR(J279="",I279="Won",I279="Lost",I279="Not a fit",L279="Yes"),"",J279+Settings!$B$8)</f>
        <v/>
      </c>
      <c r="L279" s="17" t="n"/>
      <c r="M279" s="17" t="n"/>
      <c r="N279" s="18" t="n"/>
      <c r="O279" s="18" t="n"/>
      <c r="P279" s="17" t="n"/>
      <c r="Q279" s="18">
        <f>IF(AND(I279="Won",P279&lt;&gt;"",N279&gt;=Settings!$B$7),MIN(N279*Settings!$B$2,Settings!$B$3),0)</f>
        <v/>
      </c>
      <c r="R279" s="18">
        <f>IF(AND(I279="Won",P279&lt;&gt;""),O279*Settings!$B$4,0)</f>
        <v/>
      </c>
      <c r="S279" s="17" t="n"/>
    </row>
    <row r="280">
      <c r="A280" s="16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6" t="n"/>
      <c r="K280" s="16">
        <f>IF(OR(J280="",I280="Won",I280="Lost",I280="Not a fit",L280="Yes"),"",J280+Settings!$B$8)</f>
        <v/>
      </c>
      <c r="L280" s="17" t="n"/>
      <c r="M280" s="17" t="n"/>
      <c r="N280" s="18" t="n"/>
      <c r="O280" s="18" t="n"/>
      <c r="P280" s="17" t="n"/>
      <c r="Q280" s="18">
        <f>IF(AND(I280="Won",P280&lt;&gt;"",N280&gt;=Settings!$B$7),MIN(N280*Settings!$B$2,Settings!$B$3),0)</f>
        <v/>
      </c>
      <c r="R280" s="18">
        <f>IF(AND(I280="Won",P280&lt;&gt;""),O280*Settings!$B$4,0)</f>
        <v/>
      </c>
      <c r="S280" s="17" t="n"/>
    </row>
    <row r="281">
      <c r="A281" s="16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6" t="n"/>
      <c r="K281" s="16">
        <f>IF(OR(J281="",I281="Won",I281="Lost",I281="Not a fit",L281="Yes"),"",J281+Settings!$B$8)</f>
        <v/>
      </c>
      <c r="L281" s="17" t="n"/>
      <c r="M281" s="17" t="n"/>
      <c r="N281" s="18" t="n"/>
      <c r="O281" s="18" t="n"/>
      <c r="P281" s="17" t="n"/>
      <c r="Q281" s="18">
        <f>IF(AND(I281="Won",P281&lt;&gt;"",N281&gt;=Settings!$B$7),MIN(N281*Settings!$B$2,Settings!$B$3),0)</f>
        <v/>
      </c>
      <c r="R281" s="18">
        <f>IF(AND(I281="Won",P281&lt;&gt;""),O281*Settings!$B$4,0)</f>
        <v/>
      </c>
      <c r="S281" s="17" t="n"/>
    </row>
    <row r="282">
      <c r="A282" s="16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6" t="n"/>
      <c r="K282" s="16">
        <f>IF(OR(J282="",I282="Won",I282="Lost",I282="Not a fit",L282="Yes"),"",J282+Settings!$B$8)</f>
        <v/>
      </c>
      <c r="L282" s="17" t="n"/>
      <c r="M282" s="17" t="n"/>
      <c r="N282" s="18" t="n"/>
      <c r="O282" s="18" t="n"/>
      <c r="P282" s="17" t="n"/>
      <c r="Q282" s="18">
        <f>IF(AND(I282="Won",P282&lt;&gt;"",N282&gt;=Settings!$B$7),MIN(N282*Settings!$B$2,Settings!$B$3),0)</f>
        <v/>
      </c>
      <c r="R282" s="18">
        <f>IF(AND(I282="Won",P282&lt;&gt;""),O282*Settings!$B$4,0)</f>
        <v/>
      </c>
      <c r="S282" s="17" t="n"/>
    </row>
    <row r="283">
      <c r="A283" s="16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6" t="n"/>
      <c r="K283" s="16">
        <f>IF(OR(J283="",I283="Won",I283="Lost",I283="Not a fit",L283="Yes"),"",J283+Settings!$B$8)</f>
        <v/>
      </c>
      <c r="L283" s="17" t="n"/>
      <c r="M283" s="17" t="n"/>
      <c r="N283" s="18" t="n"/>
      <c r="O283" s="18" t="n"/>
      <c r="P283" s="17" t="n"/>
      <c r="Q283" s="18">
        <f>IF(AND(I283="Won",P283&lt;&gt;"",N283&gt;=Settings!$B$7),MIN(N283*Settings!$B$2,Settings!$B$3),0)</f>
        <v/>
      </c>
      <c r="R283" s="18">
        <f>IF(AND(I283="Won",P283&lt;&gt;""),O283*Settings!$B$4,0)</f>
        <v/>
      </c>
      <c r="S283" s="17" t="n"/>
    </row>
    <row r="284">
      <c r="A284" s="16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6" t="n"/>
      <c r="K284" s="16">
        <f>IF(OR(J284="",I284="Won",I284="Lost",I284="Not a fit",L284="Yes"),"",J284+Settings!$B$8)</f>
        <v/>
      </c>
      <c r="L284" s="17" t="n"/>
      <c r="M284" s="17" t="n"/>
      <c r="N284" s="18" t="n"/>
      <c r="O284" s="18" t="n"/>
      <c r="P284" s="17" t="n"/>
      <c r="Q284" s="18">
        <f>IF(AND(I284="Won",P284&lt;&gt;"",N284&gt;=Settings!$B$7),MIN(N284*Settings!$B$2,Settings!$B$3),0)</f>
        <v/>
      </c>
      <c r="R284" s="18">
        <f>IF(AND(I284="Won",P284&lt;&gt;""),O284*Settings!$B$4,0)</f>
        <v/>
      </c>
      <c r="S284" s="17" t="n"/>
    </row>
    <row r="285">
      <c r="A285" s="16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6" t="n"/>
      <c r="K285" s="16">
        <f>IF(OR(J285="",I285="Won",I285="Lost",I285="Not a fit",L285="Yes"),"",J285+Settings!$B$8)</f>
        <v/>
      </c>
      <c r="L285" s="17" t="n"/>
      <c r="M285" s="17" t="n"/>
      <c r="N285" s="18" t="n"/>
      <c r="O285" s="18" t="n"/>
      <c r="P285" s="17" t="n"/>
      <c r="Q285" s="18">
        <f>IF(AND(I285="Won",P285&lt;&gt;"",N285&gt;=Settings!$B$7),MIN(N285*Settings!$B$2,Settings!$B$3),0)</f>
        <v/>
      </c>
      <c r="R285" s="18">
        <f>IF(AND(I285="Won",P285&lt;&gt;""),O285*Settings!$B$4,0)</f>
        <v/>
      </c>
      <c r="S285" s="17" t="n"/>
    </row>
    <row r="286">
      <c r="A286" s="16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6" t="n"/>
      <c r="K286" s="16">
        <f>IF(OR(J286="",I286="Won",I286="Lost",I286="Not a fit",L286="Yes"),"",J286+Settings!$B$8)</f>
        <v/>
      </c>
      <c r="L286" s="17" t="n"/>
      <c r="M286" s="17" t="n"/>
      <c r="N286" s="18" t="n"/>
      <c r="O286" s="18" t="n"/>
      <c r="P286" s="17" t="n"/>
      <c r="Q286" s="18">
        <f>IF(AND(I286="Won",P286&lt;&gt;"",N286&gt;=Settings!$B$7),MIN(N286*Settings!$B$2,Settings!$B$3),0)</f>
        <v/>
      </c>
      <c r="R286" s="18">
        <f>IF(AND(I286="Won",P286&lt;&gt;""),O286*Settings!$B$4,0)</f>
        <v/>
      </c>
      <c r="S286" s="17" t="n"/>
    </row>
    <row r="287">
      <c r="A287" s="16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6" t="n"/>
      <c r="K287" s="16">
        <f>IF(OR(J287="",I287="Won",I287="Lost",I287="Not a fit",L287="Yes"),"",J287+Settings!$B$8)</f>
        <v/>
      </c>
      <c r="L287" s="17" t="n"/>
      <c r="M287" s="17" t="n"/>
      <c r="N287" s="18" t="n"/>
      <c r="O287" s="18" t="n"/>
      <c r="P287" s="17" t="n"/>
      <c r="Q287" s="18">
        <f>IF(AND(I287="Won",P287&lt;&gt;"",N287&gt;=Settings!$B$7),MIN(N287*Settings!$B$2,Settings!$B$3),0)</f>
        <v/>
      </c>
      <c r="R287" s="18">
        <f>IF(AND(I287="Won",P287&lt;&gt;""),O287*Settings!$B$4,0)</f>
        <v/>
      </c>
      <c r="S287" s="17" t="n"/>
    </row>
    <row r="288">
      <c r="A288" s="16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6" t="n"/>
      <c r="K288" s="16">
        <f>IF(OR(J288="",I288="Won",I288="Lost",I288="Not a fit",L288="Yes"),"",J288+Settings!$B$8)</f>
        <v/>
      </c>
      <c r="L288" s="17" t="n"/>
      <c r="M288" s="17" t="n"/>
      <c r="N288" s="18" t="n"/>
      <c r="O288" s="18" t="n"/>
      <c r="P288" s="17" t="n"/>
      <c r="Q288" s="18">
        <f>IF(AND(I288="Won",P288&lt;&gt;"",N288&gt;=Settings!$B$7),MIN(N288*Settings!$B$2,Settings!$B$3),0)</f>
        <v/>
      </c>
      <c r="R288" s="18">
        <f>IF(AND(I288="Won",P288&lt;&gt;""),O288*Settings!$B$4,0)</f>
        <v/>
      </c>
      <c r="S288" s="17" t="n"/>
    </row>
    <row r="289">
      <c r="A289" s="16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6" t="n"/>
      <c r="K289" s="16">
        <f>IF(OR(J289="",I289="Won",I289="Lost",I289="Not a fit",L289="Yes"),"",J289+Settings!$B$8)</f>
        <v/>
      </c>
      <c r="L289" s="17" t="n"/>
      <c r="M289" s="17" t="n"/>
      <c r="N289" s="18" t="n"/>
      <c r="O289" s="18" t="n"/>
      <c r="P289" s="17" t="n"/>
      <c r="Q289" s="18">
        <f>IF(AND(I289="Won",P289&lt;&gt;"",N289&gt;=Settings!$B$7),MIN(N289*Settings!$B$2,Settings!$B$3),0)</f>
        <v/>
      </c>
      <c r="R289" s="18">
        <f>IF(AND(I289="Won",P289&lt;&gt;""),O289*Settings!$B$4,0)</f>
        <v/>
      </c>
      <c r="S289" s="17" t="n"/>
    </row>
    <row r="290">
      <c r="A290" s="16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6" t="n"/>
      <c r="K290" s="16">
        <f>IF(OR(J290="",I290="Won",I290="Lost",I290="Not a fit",L290="Yes"),"",J290+Settings!$B$8)</f>
        <v/>
      </c>
      <c r="L290" s="17" t="n"/>
      <c r="M290" s="17" t="n"/>
      <c r="N290" s="18" t="n"/>
      <c r="O290" s="18" t="n"/>
      <c r="P290" s="17" t="n"/>
      <c r="Q290" s="18">
        <f>IF(AND(I290="Won",P290&lt;&gt;"",N290&gt;=Settings!$B$7),MIN(N290*Settings!$B$2,Settings!$B$3),0)</f>
        <v/>
      </c>
      <c r="R290" s="18">
        <f>IF(AND(I290="Won",P290&lt;&gt;""),O290*Settings!$B$4,0)</f>
        <v/>
      </c>
      <c r="S290" s="17" t="n"/>
    </row>
    <row r="291">
      <c r="A291" s="16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6" t="n"/>
      <c r="K291" s="16">
        <f>IF(OR(J291="",I291="Won",I291="Lost",I291="Not a fit",L291="Yes"),"",J291+Settings!$B$8)</f>
        <v/>
      </c>
      <c r="L291" s="17" t="n"/>
      <c r="M291" s="17" t="n"/>
      <c r="N291" s="18" t="n"/>
      <c r="O291" s="18" t="n"/>
      <c r="P291" s="17" t="n"/>
      <c r="Q291" s="18">
        <f>IF(AND(I291="Won",P291&lt;&gt;"",N291&gt;=Settings!$B$7),MIN(N291*Settings!$B$2,Settings!$B$3),0)</f>
        <v/>
      </c>
      <c r="R291" s="18">
        <f>IF(AND(I291="Won",P291&lt;&gt;""),O291*Settings!$B$4,0)</f>
        <v/>
      </c>
      <c r="S291" s="17" t="n"/>
    </row>
    <row r="292">
      <c r="A292" s="16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6" t="n"/>
      <c r="K292" s="16">
        <f>IF(OR(J292="",I292="Won",I292="Lost",I292="Not a fit",L292="Yes"),"",J292+Settings!$B$8)</f>
        <v/>
      </c>
      <c r="L292" s="17" t="n"/>
      <c r="M292" s="17" t="n"/>
      <c r="N292" s="18" t="n"/>
      <c r="O292" s="18" t="n"/>
      <c r="P292" s="17" t="n"/>
      <c r="Q292" s="18">
        <f>IF(AND(I292="Won",P292&lt;&gt;"",N292&gt;=Settings!$B$7),MIN(N292*Settings!$B$2,Settings!$B$3),0)</f>
        <v/>
      </c>
      <c r="R292" s="18">
        <f>IF(AND(I292="Won",P292&lt;&gt;""),O292*Settings!$B$4,0)</f>
        <v/>
      </c>
      <c r="S292" s="17" t="n"/>
    </row>
    <row r="293">
      <c r="A293" s="16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6" t="n"/>
      <c r="K293" s="16">
        <f>IF(OR(J293="",I293="Won",I293="Lost",I293="Not a fit",L293="Yes"),"",J293+Settings!$B$8)</f>
        <v/>
      </c>
      <c r="L293" s="17" t="n"/>
      <c r="M293" s="17" t="n"/>
      <c r="N293" s="18" t="n"/>
      <c r="O293" s="18" t="n"/>
      <c r="P293" s="17" t="n"/>
      <c r="Q293" s="18">
        <f>IF(AND(I293="Won",P293&lt;&gt;"",N293&gt;=Settings!$B$7),MIN(N293*Settings!$B$2,Settings!$B$3),0)</f>
        <v/>
      </c>
      <c r="R293" s="18">
        <f>IF(AND(I293="Won",P293&lt;&gt;""),O293*Settings!$B$4,0)</f>
        <v/>
      </c>
      <c r="S293" s="17" t="n"/>
    </row>
    <row r="294">
      <c r="A294" s="16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6" t="n"/>
      <c r="K294" s="16">
        <f>IF(OR(J294="",I294="Won",I294="Lost",I294="Not a fit",L294="Yes"),"",J294+Settings!$B$8)</f>
        <v/>
      </c>
      <c r="L294" s="17" t="n"/>
      <c r="M294" s="17" t="n"/>
      <c r="N294" s="18" t="n"/>
      <c r="O294" s="18" t="n"/>
      <c r="P294" s="17" t="n"/>
      <c r="Q294" s="18">
        <f>IF(AND(I294="Won",P294&lt;&gt;"",N294&gt;=Settings!$B$7),MIN(N294*Settings!$B$2,Settings!$B$3),0)</f>
        <v/>
      </c>
      <c r="R294" s="18">
        <f>IF(AND(I294="Won",P294&lt;&gt;""),O294*Settings!$B$4,0)</f>
        <v/>
      </c>
      <c r="S294" s="17" t="n"/>
    </row>
    <row r="295">
      <c r="A295" s="16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6" t="n"/>
      <c r="K295" s="16">
        <f>IF(OR(J295="",I295="Won",I295="Lost",I295="Not a fit",L295="Yes"),"",J295+Settings!$B$8)</f>
        <v/>
      </c>
      <c r="L295" s="17" t="n"/>
      <c r="M295" s="17" t="n"/>
      <c r="N295" s="18" t="n"/>
      <c r="O295" s="18" t="n"/>
      <c r="P295" s="17" t="n"/>
      <c r="Q295" s="18">
        <f>IF(AND(I295="Won",P295&lt;&gt;"",N295&gt;=Settings!$B$7),MIN(N295*Settings!$B$2,Settings!$B$3),0)</f>
        <v/>
      </c>
      <c r="R295" s="18">
        <f>IF(AND(I295="Won",P295&lt;&gt;""),O295*Settings!$B$4,0)</f>
        <v/>
      </c>
      <c r="S295" s="17" t="n"/>
    </row>
    <row r="296">
      <c r="A296" s="16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6" t="n"/>
      <c r="K296" s="16">
        <f>IF(OR(J296="",I296="Won",I296="Lost",I296="Not a fit",L296="Yes"),"",J296+Settings!$B$8)</f>
        <v/>
      </c>
      <c r="L296" s="17" t="n"/>
      <c r="M296" s="17" t="n"/>
      <c r="N296" s="18" t="n"/>
      <c r="O296" s="18" t="n"/>
      <c r="P296" s="17" t="n"/>
      <c r="Q296" s="18">
        <f>IF(AND(I296="Won",P296&lt;&gt;"",N296&gt;=Settings!$B$7),MIN(N296*Settings!$B$2,Settings!$B$3),0)</f>
        <v/>
      </c>
      <c r="R296" s="18">
        <f>IF(AND(I296="Won",P296&lt;&gt;""),O296*Settings!$B$4,0)</f>
        <v/>
      </c>
      <c r="S296" s="17" t="n"/>
    </row>
    <row r="297">
      <c r="A297" s="16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6" t="n"/>
      <c r="K297" s="16">
        <f>IF(OR(J297="",I297="Won",I297="Lost",I297="Not a fit",L297="Yes"),"",J297+Settings!$B$8)</f>
        <v/>
      </c>
      <c r="L297" s="17" t="n"/>
      <c r="M297" s="17" t="n"/>
      <c r="N297" s="18" t="n"/>
      <c r="O297" s="18" t="n"/>
      <c r="P297" s="17" t="n"/>
      <c r="Q297" s="18">
        <f>IF(AND(I297="Won",P297&lt;&gt;"",N297&gt;=Settings!$B$7),MIN(N297*Settings!$B$2,Settings!$B$3),0)</f>
        <v/>
      </c>
      <c r="R297" s="18">
        <f>IF(AND(I297="Won",P297&lt;&gt;""),O297*Settings!$B$4,0)</f>
        <v/>
      </c>
      <c r="S297" s="17" t="n"/>
    </row>
    <row r="298">
      <c r="A298" s="16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6" t="n"/>
      <c r="K298" s="16">
        <f>IF(OR(J298="",I298="Won",I298="Lost",I298="Not a fit",L298="Yes"),"",J298+Settings!$B$8)</f>
        <v/>
      </c>
      <c r="L298" s="17" t="n"/>
      <c r="M298" s="17" t="n"/>
      <c r="N298" s="18" t="n"/>
      <c r="O298" s="18" t="n"/>
      <c r="P298" s="17" t="n"/>
      <c r="Q298" s="18">
        <f>IF(AND(I298="Won",P298&lt;&gt;"",N298&gt;=Settings!$B$7),MIN(N298*Settings!$B$2,Settings!$B$3),0)</f>
        <v/>
      </c>
      <c r="R298" s="18">
        <f>IF(AND(I298="Won",P298&lt;&gt;""),O298*Settings!$B$4,0)</f>
        <v/>
      </c>
      <c r="S298" s="17" t="n"/>
    </row>
    <row r="299">
      <c r="A299" s="16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6" t="n"/>
      <c r="K299" s="16">
        <f>IF(OR(J299="",I299="Won",I299="Lost",I299="Not a fit",L299="Yes"),"",J299+Settings!$B$8)</f>
        <v/>
      </c>
      <c r="L299" s="17" t="n"/>
      <c r="M299" s="17" t="n"/>
      <c r="N299" s="18" t="n"/>
      <c r="O299" s="18" t="n"/>
      <c r="P299" s="17" t="n"/>
      <c r="Q299" s="18">
        <f>IF(AND(I299="Won",P299&lt;&gt;"",N299&gt;=Settings!$B$7),MIN(N299*Settings!$B$2,Settings!$B$3),0)</f>
        <v/>
      </c>
      <c r="R299" s="18">
        <f>IF(AND(I299="Won",P299&lt;&gt;""),O299*Settings!$B$4,0)</f>
        <v/>
      </c>
      <c r="S299" s="17" t="n"/>
    </row>
    <row r="300">
      <c r="A300" s="16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6" t="n"/>
      <c r="K300" s="16">
        <f>IF(OR(J300="",I300="Won",I300="Lost",I300="Not a fit",L300="Yes"),"",J300+Settings!$B$8)</f>
        <v/>
      </c>
      <c r="L300" s="17" t="n"/>
      <c r="M300" s="17" t="n"/>
      <c r="N300" s="18" t="n"/>
      <c r="O300" s="18" t="n"/>
      <c r="P300" s="17" t="n"/>
      <c r="Q300" s="18">
        <f>IF(AND(I300="Won",P300&lt;&gt;"",N300&gt;=Settings!$B$7),MIN(N300*Settings!$B$2,Settings!$B$3),0)</f>
        <v/>
      </c>
      <c r="R300" s="18">
        <f>IF(AND(I300="Won",P300&lt;&gt;""),O300*Settings!$B$4,0)</f>
        <v/>
      </c>
      <c r="S300" s="17" t="n"/>
    </row>
    <row r="301">
      <c r="A301" s="16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6" t="n"/>
      <c r="K301" s="16">
        <f>IF(OR(J301="",I301="Won",I301="Lost",I301="Not a fit",L301="Yes"),"",J301+Settings!$B$8)</f>
        <v/>
      </c>
      <c r="L301" s="17" t="n"/>
      <c r="M301" s="17" t="n"/>
      <c r="N301" s="18" t="n"/>
      <c r="O301" s="18" t="n"/>
      <c r="P301" s="17" t="n"/>
      <c r="Q301" s="18">
        <f>IF(AND(I301="Won",P301&lt;&gt;"",N301&gt;=Settings!$B$7),MIN(N301*Settings!$B$2,Settings!$B$3),0)</f>
        <v/>
      </c>
      <c r="R301" s="18">
        <f>IF(AND(I301="Won",P301&lt;&gt;""),O301*Settings!$B$4,0)</f>
        <v/>
      </c>
      <c r="S301" s="17" t="n"/>
    </row>
    <row r="302">
      <c r="A302" s="16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6" t="n"/>
      <c r="K302" s="16">
        <f>IF(OR(J302="",I302="Won",I302="Lost",I302="Not a fit",L302="Yes"),"",J302+Settings!$B$8)</f>
        <v/>
      </c>
      <c r="L302" s="17" t="n"/>
      <c r="M302" s="17" t="n"/>
      <c r="N302" s="18" t="n"/>
      <c r="O302" s="18" t="n"/>
      <c r="P302" s="17" t="n"/>
      <c r="Q302" s="18">
        <f>IF(AND(I302="Won",P302&lt;&gt;"",N302&gt;=Settings!$B$7),MIN(N302*Settings!$B$2,Settings!$B$3),0)</f>
        <v/>
      </c>
      <c r="R302" s="18">
        <f>IF(AND(I302="Won",P302&lt;&gt;""),O302*Settings!$B$4,0)</f>
        <v/>
      </c>
      <c r="S302" s="17" t="n"/>
    </row>
    <row r="303">
      <c r="A303" s="16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6" t="n"/>
      <c r="K303" s="16">
        <f>IF(OR(J303="",I303="Won",I303="Lost",I303="Not a fit",L303="Yes"),"",J303+Settings!$B$8)</f>
        <v/>
      </c>
      <c r="L303" s="17" t="n"/>
      <c r="M303" s="17" t="n"/>
      <c r="N303" s="18" t="n"/>
      <c r="O303" s="18" t="n"/>
      <c r="P303" s="17" t="n"/>
      <c r="Q303" s="18">
        <f>IF(AND(I303="Won",P303&lt;&gt;"",N303&gt;=Settings!$B$7),MIN(N303*Settings!$B$2,Settings!$B$3),0)</f>
        <v/>
      </c>
      <c r="R303" s="18">
        <f>IF(AND(I303="Won",P303&lt;&gt;""),O303*Settings!$B$4,0)</f>
        <v/>
      </c>
      <c r="S303" s="17" t="n"/>
    </row>
    <row r="304">
      <c r="A304" s="16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6" t="n"/>
      <c r="K304" s="16">
        <f>IF(OR(J304="",I304="Won",I304="Lost",I304="Not a fit",L304="Yes"),"",J304+Settings!$B$8)</f>
        <v/>
      </c>
      <c r="L304" s="17" t="n"/>
      <c r="M304" s="17" t="n"/>
      <c r="N304" s="18" t="n"/>
      <c r="O304" s="18" t="n"/>
      <c r="P304" s="17" t="n"/>
      <c r="Q304" s="18">
        <f>IF(AND(I304="Won",P304&lt;&gt;"",N304&gt;=Settings!$B$7),MIN(N304*Settings!$B$2,Settings!$B$3),0)</f>
        <v/>
      </c>
      <c r="R304" s="18">
        <f>IF(AND(I304="Won",P304&lt;&gt;""),O304*Settings!$B$4,0)</f>
        <v/>
      </c>
      <c r="S304" s="17" t="n"/>
    </row>
    <row r="305">
      <c r="A305" s="16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6" t="n"/>
      <c r="K305" s="16">
        <f>IF(OR(J305="",I305="Won",I305="Lost",I305="Not a fit",L305="Yes"),"",J305+Settings!$B$8)</f>
        <v/>
      </c>
      <c r="L305" s="17" t="n"/>
      <c r="M305" s="17" t="n"/>
      <c r="N305" s="18" t="n"/>
      <c r="O305" s="18" t="n"/>
      <c r="P305" s="17" t="n"/>
      <c r="Q305" s="18">
        <f>IF(AND(I305="Won",P305&lt;&gt;"",N305&gt;=Settings!$B$7),MIN(N305*Settings!$B$2,Settings!$B$3),0)</f>
        <v/>
      </c>
      <c r="R305" s="18">
        <f>IF(AND(I305="Won",P305&lt;&gt;""),O305*Settings!$B$4,0)</f>
        <v/>
      </c>
      <c r="S305" s="17" t="n"/>
    </row>
    <row r="306">
      <c r="A306" s="16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6" t="n"/>
      <c r="K306" s="16">
        <f>IF(OR(J306="",I306="Won",I306="Lost",I306="Not a fit",L306="Yes"),"",J306+Settings!$B$8)</f>
        <v/>
      </c>
      <c r="L306" s="17" t="n"/>
      <c r="M306" s="17" t="n"/>
      <c r="N306" s="18" t="n"/>
      <c r="O306" s="18" t="n"/>
      <c r="P306" s="17" t="n"/>
      <c r="Q306" s="18">
        <f>IF(AND(I306="Won",P306&lt;&gt;"",N306&gt;=Settings!$B$7),MIN(N306*Settings!$B$2,Settings!$B$3),0)</f>
        <v/>
      </c>
      <c r="R306" s="18">
        <f>IF(AND(I306="Won",P306&lt;&gt;""),O306*Settings!$B$4,0)</f>
        <v/>
      </c>
      <c r="S306" s="17" t="n"/>
    </row>
    <row r="307">
      <c r="A307" s="16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6" t="n"/>
      <c r="K307" s="16">
        <f>IF(OR(J307="",I307="Won",I307="Lost",I307="Not a fit",L307="Yes"),"",J307+Settings!$B$8)</f>
        <v/>
      </c>
      <c r="L307" s="17" t="n"/>
      <c r="M307" s="17" t="n"/>
      <c r="N307" s="18" t="n"/>
      <c r="O307" s="18" t="n"/>
      <c r="P307" s="17" t="n"/>
      <c r="Q307" s="18">
        <f>IF(AND(I307="Won",P307&lt;&gt;"",N307&gt;=Settings!$B$7),MIN(N307*Settings!$B$2,Settings!$B$3),0)</f>
        <v/>
      </c>
      <c r="R307" s="18">
        <f>IF(AND(I307="Won",P307&lt;&gt;""),O307*Settings!$B$4,0)</f>
        <v/>
      </c>
      <c r="S307" s="17" t="n"/>
    </row>
    <row r="308">
      <c r="A308" s="16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6" t="n"/>
      <c r="K308" s="16">
        <f>IF(OR(J308="",I308="Won",I308="Lost",I308="Not a fit",L308="Yes"),"",J308+Settings!$B$8)</f>
        <v/>
      </c>
      <c r="L308" s="17" t="n"/>
      <c r="M308" s="17" t="n"/>
      <c r="N308" s="18" t="n"/>
      <c r="O308" s="18" t="n"/>
      <c r="P308" s="17" t="n"/>
      <c r="Q308" s="18">
        <f>IF(AND(I308="Won",P308&lt;&gt;"",N308&gt;=Settings!$B$7),MIN(N308*Settings!$B$2,Settings!$B$3),0)</f>
        <v/>
      </c>
      <c r="R308" s="18">
        <f>IF(AND(I308="Won",P308&lt;&gt;""),O308*Settings!$B$4,0)</f>
        <v/>
      </c>
      <c r="S308" s="17" t="n"/>
    </row>
    <row r="309">
      <c r="A309" s="16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6" t="n"/>
      <c r="K309" s="16">
        <f>IF(OR(J309="",I309="Won",I309="Lost",I309="Not a fit",L309="Yes"),"",J309+Settings!$B$8)</f>
        <v/>
      </c>
      <c r="L309" s="17" t="n"/>
      <c r="M309" s="17" t="n"/>
      <c r="N309" s="18" t="n"/>
      <c r="O309" s="18" t="n"/>
      <c r="P309" s="17" t="n"/>
      <c r="Q309" s="18">
        <f>IF(AND(I309="Won",P309&lt;&gt;"",N309&gt;=Settings!$B$7),MIN(N309*Settings!$B$2,Settings!$B$3),0)</f>
        <v/>
      </c>
      <c r="R309" s="18">
        <f>IF(AND(I309="Won",P309&lt;&gt;""),O309*Settings!$B$4,0)</f>
        <v/>
      </c>
      <c r="S309" s="17" t="n"/>
    </row>
    <row r="310">
      <c r="A310" s="16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6" t="n"/>
      <c r="K310" s="16">
        <f>IF(OR(J310="",I310="Won",I310="Lost",I310="Not a fit",L310="Yes"),"",J310+Settings!$B$8)</f>
        <v/>
      </c>
      <c r="L310" s="17" t="n"/>
      <c r="M310" s="17" t="n"/>
      <c r="N310" s="18" t="n"/>
      <c r="O310" s="18" t="n"/>
      <c r="P310" s="17" t="n"/>
      <c r="Q310" s="18">
        <f>IF(AND(I310="Won",P310&lt;&gt;"",N310&gt;=Settings!$B$7),MIN(N310*Settings!$B$2,Settings!$B$3),0)</f>
        <v/>
      </c>
      <c r="R310" s="18">
        <f>IF(AND(I310="Won",P310&lt;&gt;""),O310*Settings!$B$4,0)</f>
        <v/>
      </c>
      <c r="S310" s="17" t="n"/>
    </row>
    <row r="311">
      <c r="A311" s="16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6" t="n"/>
      <c r="K311" s="16">
        <f>IF(OR(J311="",I311="Won",I311="Lost",I311="Not a fit",L311="Yes"),"",J311+Settings!$B$8)</f>
        <v/>
      </c>
      <c r="L311" s="17" t="n"/>
      <c r="M311" s="17" t="n"/>
      <c r="N311" s="18" t="n"/>
      <c r="O311" s="18" t="n"/>
      <c r="P311" s="17" t="n"/>
      <c r="Q311" s="18">
        <f>IF(AND(I311="Won",P311&lt;&gt;"",N311&gt;=Settings!$B$7),MIN(N311*Settings!$B$2,Settings!$B$3),0)</f>
        <v/>
      </c>
      <c r="R311" s="18">
        <f>IF(AND(I311="Won",P311&lt;&gt;""),O311*Settings!$B$4,0)</f>
        <v/>
      </c>
      <c r="S311" s="17" t="n"/>
    </row>
    <row r="312">
      <c r="A312" s="16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6" t="n"/>
      <c r="K312" s="16">
        <f>IF(OR(J312="",I312="Won",I312="Lost",I312="Not a fit",L312="Yes"),"",J312+Settings!$B$8)</f>
        <v/>
      </c>
      <c r="L312" s="17" t="n"/>
      <c r="M312" s="17" t="n"/>
      <c r="N312" s="18" t="n"/>
      <c r="O312" s="18" t="n"/>
      <c r="P312" s="17" t="n"/>
      <c r="Q312" s="18">
        <f>IF(AND(I312="Won",P312&lt;&gt;"",N312&gt;=Settings!$B$7),MIN(N312*Settings!$B$2,Settings!$B$3),0)</f>
        <v/>
      </c>
      <c r="R312" s="18">
        <f>IF(AND(I312="Won",P312&lt;&gt;""),O312*Settings!$B$4,0)</f>
        <v/>
      </c>
      <c r="S312" s="17" t="n"/>
    </row>
    <row r="313">
      <c r="A313" s="16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6" t="n"/>
      <c r="K313" s="16">
        <f>IF(OR(J313="",I313="Won",I313="Lost",I313="Not a fit",L313="Yes"),"",J313+Settings!$B$8)</f>
        <v/>
      </c>
      <c r="L313" s="17" t="n"/>
      <c r="M313" s="17" t="n"/>
      <c r="N313" s="18" t="n"/>
      <c r="O313" s="18" t="n"/>
      <c r="P313" s="17" t="n"/>
      <c r="Q313" s="18">
        <f>IF(AND(I313="Won",P313&lt;&gt;"",N313&gt;=Settings!$B$7),MIN(N313*Settings!$B$2,Settings!$B$3),0)</f>
        <v/>
      </c>
      <c r="R313" s="18">
        <f>IF(AND(I313="Won",P313&lt;&gt;""),O313*Settings!$B$4,0)</f>
        <v/>
      </c>
      <c r="S313" s="17" t="n"/>
    </row>
    <row r="314">
      <c r="A314" s="16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6" t="n"/>
      <c r="K314" s="16">
        <f>IF(OR(J314="",I314="Won",I314="Lost",I314="Not a fit",L314="Yes"),"",J314+Settings!$B$8)</f>
        <v/>
      </c>
      <c r="L314" s="17" t="n"/>
      <c r="M314" s="17" t="n"/>
      <c r="N314" s="18" t="n"/>
      <c r="O314" s="18" t="n"/>
      <c r="P314" s="17" t="n"/>
      <c r="Q314" s="18">
        <f>IF(AND(I314="Won",P314&lt;&gt;"",N314&gt;=Settings!$B$7),MIN(N314*Settings!$B$2,Settings!$B$3),0)</f>
        <v/>
      </c>
      <c r="R314" s="18">
        <f>IF(AND(I314="Won",P314&lt;&gt;""),O314*Settings!$B$4,0)</f>
        <v/>
      </c>
      <c r="S314" s="17" t="n"/>
    </row>
    <row r="315">
      <c r="A315" s="16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6" t="n"/>
      <c r="K315" s="16">
        <f>IF(OR(J315="",I315="Won",I315="Lost",I315="Not a fit",L315="Yes"),"",J315+Settings!$B$8)</f>
        <v/>
      </c>
      <c r="L315" s="17" t="n"/>
      <c r="M315" s="17" t="n"/>
      <c r="N315" s="18" t="n"/>
      <c r="O315" s="18" t="n"/>
      <c r="P315" s="17" t="n"/>
      <c r="Q315" s="18">
        <f>IF(AND(I315="Won",P315&lt;&gt;"",N315&gt;=Settings!$B$7),MIN(N315*Settings!$B$2,Settings!$B$3),0)</f>
        <v/>
      </c>
      <c r="R315" s="18">
        <f>IF(AND(I315="Won",P315&lt;&gt;""),O315*Settings!$B$4,0)</f>
        <v/>
      </c>
      <c r="S315" s="17" t="n"/>
    </row>
    <row r="316">
      <c r="A316" s="16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6" t="n"/>
      <c r="K316" s="16">
        <f>IF(OR(J316="",I316="Won",I316="Lost",I316="Not a fit",L316="Yes"),"",J316+Settings!$B$8)</f>
        <v/>
      </c>
      <c r="L316" s="17" t="n"/>
      <c r="M316" s="17" t="n"/>
      <c r="N316" s="18" t="n"/>
      <c r="O316" s="18" t="n"/>
      <c r="P316" s="17" t="n"/>
      <c r="Q316" s="18">
        <f>IF(AND(I316="Won",P316&lt;&gt;"",N316&gt;=Settings!$B$7),MIN(N316*Settings!$B$2,Settings!$B$3),0)</f>
        <v/>
      </c>
      <c r="R316" s="18">
        <f>IF(AND(I316="Won",P316&lt;&gt;""),O316*Settings!$B$4,0)</f>
        <v/>
      </c>
      <c r="S316" s="17" t="n"/>
    </row>
    <row r="317">
      <c r="A317" s="16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6" t="n"/>
      <c r="K317" s="16">
        <f>IF(OR(J317="",I317="Won",I317="Lost",I317="Not a fit",L317="Yes"),"",J317+Settings!$B$8)</f>
        <v/>
      </c>
      <c r="L317" s="17" t="n"/>
      <c r="M317" s="17" t="n"/>
      <c r="N317" s="18" t="n"/>
      <c r="O317" s="18" t="n"/>
      <c r="P317" s="17" t="n"/>
      <c r="Q317" s="18">
        <f>IF(AND(I317="Won",P317&lt;&gt;"",N317&gt;=Settings!$B$7),MIN(N317*Settings!$B$2,Settings!$B$3),0)</f>
        <v/>
      </c>
      <c r="R317" s="18">
        <f>IF(AND(I317="Won",P317&lt;&gt;""),O317*Settings!$B$4,0)</f>
        <v/>
      </c>
      <c r="S317" s="17" t="n"/>
    </row>
    <row r="318">
      <c r="A318" s="16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6" t="n"/>
      <c r="K318" s="16">
        <f>IF(OR(J318="",I318="Won",I318="Lost",I318="Not a fit",L318="Yes"),"",J318+Settings!$B$8)</f>
        <v/>
      </c>
      <c r="L318" s="17" t="n"/>
      <c r="M318" s="17" t="n"/>
      <c r="N318" s="18" t="n"/>
      <c r="O318" s="18" t="n"/>
      <c r="P318" s="17" t="n"/>
      <c r="Q318" s="18">
        <f>IF(AND(I318="Won",P318&lt;&gt;"",N318&gt;=Settings!$B$7),MIN(N318*Settings!$B$2,Settings!$B$3),0)</f>
        <v/>
      </c>
      <c r="R318" s="18">
        <f>IF(AND(I318="Won",P318&lt;&gt;""),O318*Settings!$B$4,0)</f>
        <v/>
      </c>
      <c r="S318" s="17" t="n"/>
    </row>
    <row r="319">
      <c r="A319" s="16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6" t="n"/>
      <c r="K319" s="16">
        <f>IF(OR(J319="",I319="Won",I319="Lost",I319="Not a fit",L319="Yes"),"",J319+Settings!$B$8)</f>
        <v/>
      </c>
      <c r="L319" s="17" t="n"/>
      <c r="M319" s="17" t="n"/>
      <c r="N319" s="18" t="n"/>
      <c r="O319" s="18" t="n"/>
      <c r="P319" s="17" t="n"/>
      <c r="Q319" s="18">
        <f>IF(AND(I319="Won",P319&lt;&gt;"",N319&gt;=Settings!$B$7),MIN(N319*Settings!$B$2,Settings!$B$3),0)</f>
        <v/>
      </c>
      <c r="R319" s="18">
        <f>IF(AND(I319="Won",P319&lt;&gt;""),O319*Settings!$B$4,0)</f>
        <v/>
      </c>
      <c r="S319" s="17" t="n"/>
    </row>
    <row r="320">
      <c r="A320" s="16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6" t="n"/>
      <c r="K320" s="16">
        <f>IF(OR(J320="",I320="Won",I320="Lost",I320="Not a fit",L320="Yes"),"",J320+Settings!$B$8)</f>
        <v/>
      </c>
      <c r="L320" s="17" t="n"/>
      <c r="M320" s="17" t="n"/>
      <c r="N320" s="18" t="n"/>
      <c r="O320" s="18" t="n"/>
      <c r="P320" s="17" t="n"/>
      <c r="Q320" s="18">
        <f>IF(AND(I320="Won",P320&lt;&gt;"",N320&gt;=Settings!$B$7),MIN(N320*Settings!$B$2,Settings!$B$3),0)</f>
        <v/>
      </c>
      <c r="R320" s="18">
        <f>IF(AND(I320="Won",P320&lt;&gt;""),O320*Settings!$B$4,0)</f>
        <v/>
      </c>
      <c r="S320" s="17" t="n"/>
    </row>
    <row r="321">
      <c r="A321" s="16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6" t="n"/>
      <c r="K321" s="16">
        <f>IF(OR(J321="",I321="Won",I321="Lost",I321="Not a fit",L321="Yes"),"",J321+Settings!$B$8)</f>
        <v/>
      </c>
      <c r="L321" s="17" t="n"/>
      <c r="M321" s="17" t="n"/>
      <c r="N321" s="18" t="n"/>
      <c r="O321" s="18" t="n"/>
      <c r="P321" s="17" t="n"/>
      <c r="Q321" s="18">
        <f>IF(AND(I321="Won",P321&lt;&gt;"",N321&gt;=Settings!$B$7),MIN(N321*Settings!$B$2,Settings!$B$3),0)</f>
        <v/>
      </c>
      <c r="R321" s="18">
        <f>IF(AND(I321="Won",P321&lt;&gt;""),O321*Settings!$B$4,0)</f>
        <v/>
      </c>
      <c r="S321" s="17" t="n"/>
    </row>
    <row r="322">
      <c r="A322" s="16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6" t="n"/>
      <c r="K322" s="16">
        <f>IF(OR(J322="",I322="Won",I322="Lost",I322="Not a fit",L322="Yes"),"",J322+Settings!$B$8)</f>
        <v/>
      </c>
      <c r="L322" s="17" t="n"/>
      <c r="M322" s="17" t="n"/>
      <c r="N322" s="18" t="n"/>
      <c r="O322" s="18" t="n"/>
      <c r="P322" s="17" t="n"/>
      <c r="Q322" s="18">
        <f>IF(AND(I322="Won",P322&lt;&gt;"",N322&gt;=Settings!$B$7),MIN(N322*Settings!$B$2,Settings!$B$3),0)</f>
        <v/>
      </c>
      <c r="R322" s="18">
        <f>IF(AND(I322="Won",P322&lt;&gt;""),O322*Settings!$B$4,0)</f>
        <v/>
      </c>
      <c r="S322" s="17" t="n"/>
    </row>
    <row r="323">
      <c r="A323" s="16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6" t="n"/>
      <c r="K323" s="16">
        <f>IF(OR(J323="",I323="Won",I323="Lost",I323="Not a fit",L323="Yes"),"",J323+Settings!$B$8)</f>
        <v/>
      </c>
      <c r="L323" s="17" t="n"/>
      <c r="M323" s="17" t="n"/>
      <c r="N323" s="18" t="n"/>
      <c r="O323" s="18" t="n"/>
      <c r="P323" s="17" t="n"/>
      <c r="Q323" s="18">
        <f>IF(AND(I323="Won",P323&lt;&gt;"",N323&gt;=Settings!$B$7),MIN(N323*Settings!$B$2,Settings!$B$3),0)</f>
        <v/>
      </c>
      <c r="R323" s="18">
        <f>IF(AND(I323="Won",P323&lt;&gt;""),O323*Settings!$B$4,0)</f>
        <v/>
      </c>
      <c r="S323" s="17" t="n"/>
    </row>
    <row r="324">
      <c r="A324" s="16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6" t="n"/>
      <c r="K324" s="16">
        <f>IF(OR(J324="",I324="Won",I324="Lost",I324="Not a fit",L324="Yes"),"",J324+Settings!$B$8)</f>
        <v/>
      </c>
      <c r="L324" s="17" t="n"/>
      <c r="M324" s="17" t="n"/>
      <c r="N324" s="18" t="n"/>
      <c r="O324" s="18" t="n"/>
      <c r="P324" s="17" t="n"/>
      <c r="Q324" s="18">
        <f>IF(AND(I324="Won",P324&lt;&gt;"",N324&gt;=Settings!$B$7),MIN(N324*Settings!$B$2,Settings!$B$3),0)</f>
        <v/>
      </c>
      <c r="R324" s="18">
        <f>IF(AND(I324="Won",P324&lt;&gt;""),O324*Settings!$B$4,0)</f>
        <v/>
      </c>
      <c r="S324" s="17" t="n"/>
    </row>
    <row r="325">
      <c r="A325" s="16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6" t="n"/>
      <c r="K325" s="16">
        <f>IF(OR(J325="",I325="Won",I325="Lost",I325="Not a fit",L325="Yes"),"",J325+Settings!$B$8)</f>
        <v/>
      </c>
      <c r="L325" s="17" t="n"/>
      <c r="M325" s="17" t="n"/>
      <c r="N325" s="18" t="n"/>
      <c r="O325" s="18" t="n"/>
      <c r="P325" s="17" t="n"/>
      <c r="Q325" s="18">
        <f>IF(AND(I325="Won",P325&lt;&gt;"",N325&gt;=Settings!$B$7),MIN(N325*Settings!$B$2,Settings!$B$3),0)</f>
        <v/>
      </c>
      <c r="R325" s="18">
        <f>IF(AND(I325="Won",P325&lt;&gt;""),O325*Settings!$B$4,0)</f>
        <v/>
      </c>
      <c r="S325" s="17" t="n"/>
    </row>
    <row r="326">
      <c r="A326" s="16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6" t="n"/>
      <c r="K326" s="16">
        <f>IF(OR(J326="",I326="Won",I326="Lost",I326="Not a fit",L326="Yes"),"",J326+Settings!$B$8)</f>
        <v/>
      </c>
      <c r="L326" s="17" t="n"/>
      <c r="M326" s="17" t="n"/>
      <c r="N326" s="18" t="n"/>
      <c r="O326" s="18" t="n"/>
      <c r="P326" s="17" t="n"/>
      <c r="Q326" s="18">
        <f>IF(AND(I326="Won",P326&lt;&gt;"",N326&gt;=Settings!$B$7),MIN(N326*Settings!$B$2,Settings!$B$3),0)</f>
        <v/>
      </c>
      <c r="R326" s="18">
        <f>IF(AND(I326="Won",P326&lt;&gt;""),O326*Settings!$B$4,0)</f>
        <v/>
      </c>
      <c r="S326" s="17" t="n"/>
    </row>
    <row r="327">
      <c r="A327" s="16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6" t="n"/>
      <c r="K327" s="16">
        <f>IF(OR(J327="",I327="Won",I327="Lost",I327="Not a fit",L327="Yes"),"",J327+Settings!$B$8)</f>
        <v/>
      </c>
      <c r="L327" s="17" t="n"/>
      <c r="M327" s="17" t="n"/>
      <c r="N327" s="18" t="n"/>
      <c r="O327" s="18" t="n"/>
      <c r="P327" s="17" t="n"/>
      <c r="Q327" s="18">
        <f>IF(AND(I327="Won",P327&lt;&gt;"",N327&gt;=Settings!$B$7),MIN(N327*Settings!$B$2,Settings!$B$3),0)</f>
        <v/>
      </c>
      <c r="R327" s="18">
        <f>IF(AND(I327="Won",P327&lt;&gt;""),O327*Settings!$B$4,0)</f>
        <v/>
      </c>
      <c r="S327" s="17" t="n"/>
    </row>
    <row r="328">
      <c r="A328" s="16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6" t="n"/>
      <c r="K328" s="16">
        <f>IF(OR(J328="",I328="Won",I328="Lost",I328="Not a fit",L328="Yes"),"",J328+Settings!$B$8)</f>
        <v/>
      </c>
      <c r="L328" s="17" t="n"/>
      <c r="M328" s="17" t="n"/>
      <c r="N328" s="18" t="n"/>
      <c r="O328" s="18" t="n"/>
      <c r="P328" s="17" t="n"/>
      <c r="Q328" s="18">
        <f>IF(AND(I328="Won",P328&lt;&gt;"",N328&gt;=Settings!$B$7),MIN(N328*Settings!$B$2,Settings!$B$3),0)</f>
        <v/>
      </c>
      <c r="R328" s="18">
        <f>IF(AND(I328="Won",P328&lt;&gt;""),O328*Settings!$B$4,0)</f>
        <v/>
      </c>
      <c r="S328" s="17" t="n"/>
    </row>
    <row r="329">
      <c r="A329" s="16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6" t="n"/>
      <c r="K329" s="16">
        <f>IF(OR(J329="",I329="Won",I329="Lost",I329="Not a fit",L329="Yes"),"",J329+Settings!$B$8)</f>
        <v/>
      </c>
      <c r="L329" s="17" t="n"/>
      <c r="M329" s="17" t="n"/>
      <c r="N329" s="18" t="n"/>
      <c r="O329" s="18" t="n"/>
      <c r="P329" s="17" t="n"/>
      <c r="Q329" s="18">
        <f>IF(AND(I329="Won",P329&lt;&gt;"",N329&gt;=Settings!$B$7),MIN(N329*Settings!$B$2,Settings!$B$3),0)</f>
        <v/>
      </c>
      <c r="R329" s="18">
        <f>IF(AND(I329="Won",P329&lt;&gt;""),O329*Settings!$B$4,0)</f>
        <v/>
      </c>
      <c r="S329" s="17" t="n"/>
    </row>
    <row r="330">
      <c r="A330" s="16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6" t="n"/>
      <c r="K330" s="16">
        <f>IF(OR(J330="",I330="Won",I330="Lost",I330="Not a fit",L330="Yes"),"",J330+Settings!$B$8)</f>
        <v/>
      </c>
      <c r="L330" s="17" t="n"/>
      <c r="M330" s="17" t="n"/>
      <c r="N330" s="18" t="n"/>
      <c r="O330" s="18" t="n"/>
      <c r="P330" s="17" t="n"/>
      <c r="Q330" s="18">
        <f>IF(AND(I330="Won",P330&lt;&gt;"",N330&gt;=Settings!$B$7),MIN(N330*Settings!$B$2,Settings!$B$3),0)</f>
        <v/>
      </c>
      <c r="R330" s="18">
        <f>IF(AND(I330="Won",P330&lt;&gt;""),O330*Settings!$B$4,0)</f>
        <v/>
      </c>
      <c r="S330" s="17" t="n"/>
    </row>
    <row r="331">
      <c r="A331" s="16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6" t="n"/>
      <c r="K331" s="16">
        <f>IF(OR(J331="",I331="Won",I331="Lost",I331="Not a fit",L331="Yes"),"",J331+Settings!$B$8)</f>
        <v/>
      </c>
      <c r="L331" s="17" t="n"/>
      <c r="M331" s="17" t="n"/>
      <c r="N331" s="18" t="n"/>
      <c r="O331" s="18" t="n"/>
      <c r="P331" s="17" t="n"/>
      <c r="Q331" s="18">
        <f>IF(AND(I331="Won",P331&lt;&gt;"",N331&gt;=Settings!$B$7),MIN(N331*Settings!$B$2,Settings!$B$3),0)</f>
        <v/>
      </c>
      <c r="R331" s="18">
        <f>IF(AND(I331="Won",P331&lt;&gt;""),O331*Settings!$B$4,0)</f>
        <v/>
      </c>
      <c r="S331" s="17" t="n"/>
    </row>
    <row r="332">
      <c r="A332" s="16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6" t="n"/>
      <c r="K332" s="16">
        <f>IF(OR(J332="",I332="Won",I332="Lost",I332="Not a fit",L332="Yes"),"",J332+Settings!$B$8)</f>
        <v/>
      </c>
      <c r="L332" s="17" t="n"/>
      <c r="M332" s="17" t="n"/>
      <c r="N332" s="18" t="n"/>
      <c r="O332" s="18" t="n"/>
      <c r="P332" s="17" t="n"/>
      <c r="Q332" s="18">
        <f>IF(AND(I332="Won",P332&lt;&gt;"",N332&gt;=Settings!$B$7),MIN(N332*Settings!$B$2,Settings!$B$3),0)</f>
        <v/>
      </c>
      <c r="R332" s="18">
        <f>IF(AND(I332="Won",P332&lt;&gt;""),O332*Settings!$B$4,0)</f>
        <v/>
      </c>
      <c r="S332" s="17" t="n"/>
    </row>
    <row r="333">
      <c r="A333" s="16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6" t="n"/>
      <c r="K333" s="16">
        <f>IF(OR(J333="",I333="Won",I333="Lost",I333="Not a fit",L333="Yes"),"",J333+Settings!$B$8)</f>
        <v/>
      </c>
      <c r="L333" s="17" t="n"/>
      <c r="M333" s="17" t="n"/>
      <c r="N333" s="18" t="n"/>
      <c r="O333" s="18" t="n"/>
      <c r="P333" s="17" t="n"/>
      <c r="Q333" s="18">
        <f>IF(AND(I333="Won",P333&lt;&gt;"",N333&gt;=Settings!$B$7),MIN(N333*Settings!$B$2,Settings!$B$3),0)</f>
        <v/>
      </c>
      <c r="R333" s="18">
        <f>IF(AND(I333="Won",P333&lt;&gt;""),O333*Settings!$B$4,0)</f>
        <v/>
      </c>
      <c r="S333" s="17" t="n"/>
    </row>
    <row r="334">
      <c r="A334" s="16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6" t="n"/>
      <c r="K334" s="16">
        <f>IF(OR(J334="",I334="Won",I334="Lost",I334="Not a fit",L334="Yes"),"",J334+Settings!$B$8)</f>
        <v/>
      </c>
      <c r="L334" s="17" t="n"/>
      <c r="M334" s="17" t="n"/>
      <c r="N334" s="18" t="n"/>
      <c r="O334" s="18" t="n"/>
      <c r="P334" s="17" t="n"/>
      <c r="Q334" s="18">
        <f>IF(AND(I334="Won",P334&lt;&gt;"",N334&gt;=Settings!$B$7),MIN(N334*Settings!$B$2,Settings!$B$3),0)</f>
        <v/>
      </c>
      <c r="R334" s="18">
        <f>IF(AND(I334="Won",P334&lt;&gt;""),O334*Settings!$B$4,0)</f>
        <v/>
      </c>
      <c r="S334" s="17" t="n"/>
    </row>
    <row r="335">
      <c r="A335" s="16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6" t="n"/>
      <c r="K335" s="16">
        <f>IF(OR(J335="",I335="Won",I335="Lost",I335="Not a fit",L335="Yes"),"",J335+Settings!$B$8)</f>
        <v/>
      </c>
      <c r="L335" s="17" t="n"/>
      <c r="M335" s="17" t="n"/>
      <c r="N335" s="18" t="n"/>
      <c r="O335" s="18" t="n"/>
      <c r="P335" s="17" t="n"/>
      <c r="Q335" s="18">
        <f>IF(AND(I335="Won",P335&lt;&gt;"",N335&gt;=Settings!$B$7),MIN(N335*Settings!$B$2,Settings!$B$3),0)</f>
        <v/>
      </c>
      <c r="R335" s="18">
        <f>IF(AND(I335="Won",P335&lt;&gt;""),O335*Settings!$B$4,0)</f>
        <v/>
      </c>
      <c r="S335" s="17" t="n"/>
    </row>
    <row r="336">
      <c r="A336" s="16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6" t="n"/>
      <c r="K336" s="16">
        <f>IF(OR(J336="",I336="Won",I336="Lost",I336="Not a fit",L336="Yes"),"",J336+Settings!$B$8)</f>
        <v/>
      </c>
      <c r="L336" s="17" t="n"/>
      <c r="M336" s="17" t="n"/>
      <c r="N336" s="18" t="n"/>
      <c r="O336" s="18" t="n"/>
      <c r="P336" s="17" t="n"/>
      <c r="Q336" s="18">
        <f>IF(AND(I336="Won",P336&lt;&gt;"",N336&gt;=Settings!$B$7),MIN(N336*Settings!$B$2,Settings!$B$3),0)</f>
        <v/>
      </c>
      <c r="R336" s="18">
        <f>IF(AND(I336="Won",P336&lt;&gt;""),O336*Settings!$B$4,0)</f>
        <v/>
      </c>
      <c r="S336" s="17" t="n"/>
    </row>
    <row r="337">
      <c r="A337" s="16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6" t="n"/>
      <c r="K337" s="16">
        <f>IF(OR(J337="",I337="Won",I337="Lost",I337="Not a fit",L337="Yes"),"",J337+Settings!$B$8)</f>
        <v/>
      </c>
      <c r="L337" s="17" t="n"/>
      <c r="M337" s="17" t="n"/>
      <c r="N337" s="18" t="n"/>
      <c r="O337" s="18" t="n"/>
      <c r="P337" s="17" t="n"/>
      <c r="Q337" s="18">
        <f>IF(AND(I337="Won",P337&lt;&gt;"",N337&gt;=Settings!$B$7),MIN(N337*Settings!$B$2,Settings!$B$3),0)</f>
        <v/>
      </c>
      <c r="R337" s="18">
        <f>IF(AND(I337="Won",P337&lt;&gt;""),O337*Settings!$B$4,0)</f>
        <v/>
      </c>
      <c r="S337" s="17" t="n"/>
    </row>
    <row r="338">
      <c r="A338" s="16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6" t="n"/>
      <c r="K338" s="16">
        <f>IF(OR(J338="",I338="Won",I338="Lost",I338="Not a fit",L338="Yes"),"",J338+Settings!$B$8)</f>
        <v/>
      </c>
      <c r="L338" s="17" t="n"/>
      <c r="M338" s="17" t="n"/>
      <c r="N338" s="18" t="n"/>
      <c r="O338" s="18" t="n"/>
      <c r="P338" s="17" t="n"/>
      <c r="Q338" s="18">
        <f>IF(AND(I338="Won",P338&lt;&gt;"",N338&gt;=Settings!$B$7),MIN(N338*Settings!$B$2,Settings!$B$3),0)</f>
        <v/>
      </c>
      <c r="R338" s="18">
        <f>IF(AND(I338="Won",P338&lt;&gt;""),O338*Settings!$B$4,0)</f>
        <v/>
      </c>
      <c r="S338" s="17" t="n"/>
    </row>
    <row r="339">
      <c r="A339" s="16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6" t="n"/>
      <c r="K339" s="16">
        <f>IF(OR(J339="",I339="Won",I339="Lost",I339="Not a fit",L339="Yes"),"",J339+Settings!$B$8)</f>
        <v/>
      </c>
      <c r="L339" s="17" t="n"/>
      <c r="M339" s="17" t="n"/>
      <c r="N339" s="18" t="n"/>
      <c r="O339" s="18" t="n"/>
      <c r="P339" s="17" t="n"/>
      <c r="Q339" s="18">
        <f>IF(AND(I339="Won",P339&lt;&gt;"",N339&gt;=Settings!$B$7),MIN(N339*Settings!$B$2,Settings!$B$3),0)</f>
        <v/>
      </c>
      <c r="R339" s="18">
        <f>IF(AND(I339="Won",P339&lt;&gt;""),O339*Settings!$B$4,0)</f>
        <v/>
      </c>
      <c r="S339" s="17" t="n"/>
    </row>
    <row r="340">
      <c r="A340" s="16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6" t="n"/>
      <c r="K340" s="16">
        <f>IF(OR(J340="",I340="Won",I340="Lost",I340="Not a fit",L340="Yes"),"",J340+Settings!$B$8)</f>
        <v/>
      </c>
      <c r="L340" s="17" t="n"/>
      <c r="M340" s="17" t="n"/>
      <c r="N340" s="18" t="n"/>
      <c r="O340" s="18" t="n"/>
      <c r="P340" s="17" t="n"/>
      <c r="Q340" s="18">
        <f>IF(AND(I340="Won",P340&lt;&gt;"",N340&gt;=Settings!$B$7),MIN(N340*Settings!$B$2,Settings!$B$3),0)</f>
        <v/>
      </c>
      <c r="R340" s="18">
        <f>IF(AND(I340="Won",P340&lt;&gt;""),O340*Settings!$B$4,0)</f>
        <v/>
      </c>
      <c r="S340" s="17" t="n"/>
    </row>
    <row r="341">
      <c r="A341" s="16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6" t="n"/>
      <c r="K341" s="16">
        <f>IF(OR(J341="",I341="Won",I341="Lost",I341="Not a fit",L341="Yes"),"",J341+Settings!$B$8)</f>
        <v/>
      </c>
      <c r="L341" s="17" t="n"/>
      <c r="M341" s="17" t="n"/>
      <c r="N341" s="18" t="n"/>
      <c r="O341" s="18" t="n"/>
      <c r="P341" s="17" t="n"/>
      <c r="Q341" s="18">
        <f>IF(AND(I341="Won",P341&lt;&gt;"",N341&gt;=Settings!$B$7),MIN(N341*Settings!$B$2,Settings!$B$3),0)</f>
        <v/>
      </c>
      <c r="R341" s="18">
        <f>IF(AND(I341="Won",P341&lt;&gt;""),O341*Settings!$B$4,0)</f>
        <v/>
      </c>
      <c r="S341" s="17" t="n"/>
    </row>
    <row r="342">
      <c r="A342" s="16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6" t="n"/>
      <c r="K342" s="16">
        <f>IF(OR(J342="",I342="Won",I342="Lost",I342="Not a fit",L342="Yes"),"",J342+Settings!$B$8)</f>
        <v/>
      </c>
      <c r="L342" s="17" t="n"/>
      <c r="M342" s="17" t="n"/>
      <c r="N342" s="18" t="n"/>
      <c r="O342" s="18" t="n"/>
      <c r="P342" s="17" t="n"/>
      <c r="Q342" s="18">
        <f>IF(AND(I342="Won",P342&lt;&gt;"",N342&gt;=Settings!$B$7),MIN(N342*Settings!$B$2,Settings!$B$3),0)</f>
        <v/>
      </c>
      <c r="R342" s="18">
        <f>IF(AND(I342="Won",P342&lt;&gt;""),O342*Settings!$B$4,0)</f>
        <v/>
      </c>
      <c r="S342" s="17" t="n"/>
    </row>
    <row r="343">
      <c r="A343" s="16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6" t="n"/>
      <c r="K343" s="16">
        <f>IF(OR(J343="",I343="Won",I343="Lost",I343="Not a fit",L343="Yes"),"",J343+Settings!$B$8)</f>
        <v/>
      </c>
      <c r="L343" s="17" t="n"/>
      <c r="M343" s="17" t="n"/>
      <c r="N343" s="18" t="n"/>
      <c r="O343" s="18" t="n"/>
      <c r="P343" s="17" t="n"/>
      <c r="Q343" s="18">
        <f>IF(AND(I343="Won",P343&lt;&gt;"",N343&gt;=Settings!$B$7),MIN(N343*Settings!$B$2,Settings!$B$3),0)</f>
        <v/>
      </c>
      <c r="R343" s="18">
        <f>IF(AND(I343="Won",P343&lt;&gt;""),O343*Settings!$B$4,0)</f>
        <v/>
      </c>
      <c r="S343" s="17" t="n"/>
    </row>
    <row r="344">
      <c r="A344" s="16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6" t="n"/>
      <c r="K344" s="16">
        <f>IF(OR(J344="",I344="Won",I344="Lost",I344="Not a fit",L344="Yes"),"",J344+Settings!$B$8)</f>
        <v/>
      </c>
      <c r="L344" s="17" t="n"/>
      <c r="M344" s="17" t="n"/>
      <c r="N344" s="18" t="n"/>
      <c r="O344" s="18" t="n"/>
      <c r="P344" s="17" t="n"/>
      <c r="Q344" s="18">
        <f>IF(AND(I344="Won",P344&lt;&gt;"",N344&gt;=Settings!$B$7),MIN(N344*Settings!$B$2,Settings!$B$3),0)</f>
        <v/>
      </c>
      <c r="R344" s="18">
        <f>IF(AND(I344="Won",P344&lt;&gt;""),O344*Settings!$B$4,0)</f>
        <v/>
      </c>
      <c r="S344" s="17" t="n"/>
    </row>
    <row r="345">
      <c r="A345" s="16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6" t="n"/>
      <c r="K345" s="16">
        <f>IF(OR(J345="",I345="Won",I345="Lost",I345="Not a fit",L345="Yes"),"",J345+Settings!$B$8)</f>
        <v/>
      </c>
      <c r="L345" s="17" t="n"/>
      <c r="M345" s="17" t="n"/>
      <c r="N345" s="18" t="n"/>
      <c r="O345" s="18" t="n"/>
      <c r="P345" s="17" t="n"/>
      <c r="Q345" s="18">
        <f>IF(AND(I345="Won",P345&lt;&gt;"",N345&gt;=Settings!$B$7),MIN(N345*Settings!$B$2,Settings!$B$3),0)</f>
        <v/>
      </c>
      <c r="R345" s="18">
        <f>IF(AND(I345="Won",P345&lt;&gt;""),O345*Settings!$B$4,0)</f>
        <v/>
      </c>
      <c r="S345" s="17" t="n"/>
    </row>
    <row r="346">
      <c r="A346" s="16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6" t="n"/>
      <c r="K346" s="16">
        <f>IF(OR(J346="",I346="Won",I346="Lost",I346="Not a fit",L346="Yes"),"",J346+Settings!$B$8)</f>
        <v/>
      </c>
      <c r="L346" s="17" t="n"/>
      <c r="M346" s="17" t="n"/>
      <c r="N346" s="18" t="n"/>
      <c r="O346" s="18" t="n"/>
      <c r="P346" s="17" t="n"/>
      <c r="Q346" s="18">
        <f>IF(AND(I346="Won",P346&lt;&gt;"",N346&gt;=Settings!$B$7),MIN(N346*Settings!$B$2,Settings!$B$3),0)</f>
        <v/>
      </c>
      <c r="R346" s="18">
        <f>IF(AND(I346="Won",P346&lt;&gt;""),O346*Settings!$B$4,0)</f>
        <v/>
      </c>
      <c r="S346" s="17" t="n"/>
    </row>
    <row r="347">
      <c r="A347" s="16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6" t="n"/>
      <c r="K347" s="16">
        <f>IF(OR(J347="",I347="Won",I347="Lost",I347="Not a fit",L347="Yes"),"",J347+Settings!$B$8)</f>
        <v/>
      </c>
      <c r="L347" s="17" t="n"/>
      <c r="M347" s="17" t="n"/>
      <c r="N347" s="18" t="n"/>
      <c r="O347" s="18" t="n"/>
      <c r="P347" s="17" t="n"/>
      <c r="Q347" s="18">
        <f>IF(AND(I347="Won",P347&lt;&gt;"",N347&gt;=Settings!$B$7),MIN(N347*Settings!$B$2,Settings!$B$3),0)</f>
        <v/>
      </c>
      <c r="R347" s="18">
        <f>IF(AND(I347="Won",P347&lt;&gt;""),O347*Settings!$B$4,0)</f>
        <v/>
      </c>
      <c r="S347" s="17" t="n"/>
    </row>
    <row r="348">
      <c r="A348" s="16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6" t="n"/>
      <c r="K348" s="16">
        <f>IF(OR(J348="",I348="Won",I348="Lost",I348="Not a fit",L348="Yes"),"",J348+Settings!$B$8)</f>
        <v/>
      </c>
      <c r="L348" s="17" t="n"/>
      <c r="M348" s="17" t="n"/>
      <c r="N348" s="18" t="n"/>
      <c r="O348" s="18" t="n"/>
      <c r="P348" s="17" t="n"/>
      <c r="Q348" s="18">
        <f>IF(AND(I348="Won",P348&lt;&gt;"",N348&gt;=Settings!$B$7),MIN(N348*Settings!$B$2,Settings!$B$3),0)</f>
        <v/>
      </c>
      <c r="R348" s="18">
        <f>IF(AND(I348="Won",P348&lt;&gt;""),O348*Settings!$B$4,0)</f>
        <v/>
      </c>
      <c r="S348" s="17" t="n"/>
    </row>
    <row r="349">
      <c r="A349" s="16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6" t="n"/>
      <c r="K349" s="16">
        <f>IF(OR(J349="",I349="Won",I349="Lost",I349="Not a fit",L349="Yes"),"",J349+Settings!$B$8)</f>
        <v/>
      </c>
      <c r="L349" s="17" t="n"/>
      <c r="M349" s="17" t="n"/>
      <c r="N349" s="18" t="n"/>
      <c r="O349" s="18" t="n"/>
      <c r="P349" s="17" t="n"/>
      <c r="Q349" s="18">
        <f>IF(AND(I349="Won",P349&lt;&gt;"",N349&gt;=Settings!$B$7),MIN(N349*Settings!$B$2,Settings!$B$3),0)</f>
        <v/>
      </c>
      <c r="R349" s="18">
        <f>IF(AND(I349="Won",P349&lt;&gt;""),O349*Settings!$B$4,0)</f>
        <v/>
      </c>
      <c r="S349" s="17" t="n"/>
    </row>
    <row r="350">
      <c r="A350" s="16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6" t="n"/>
      <c r="K350" s="16">
        <f>IF(OR(J350="",I350="Won",I350="Lost",I350="Not a fit",L350="Yes"),"",J350+Settings!$B$8)</f>
        <v/>
      </c>
      <c r="L350" s="17" t="n"/>
      <c r="M350" s="17" t="n"/>
      <c r="N350" s="18" t="n"/>
      <c r="O350" s="18" t="n"/>
      <c r="P350" s="17" t="n"/>
      <c r="Q350" s="18">
        <f>IF(AND(I350="Won",P350&lt;&gt;"",N350&gt;=Settings!$B$7),MIN(N350*Settings!$B$2,Settings!$B$3),0)</f>
        <v/>
      </c>
      <c r="R350" s="18">
        <f>IF(AND(I350="Won",P350&lt;&gt;""),O350*Settings!$B$4,0)</f>
        <v/>
      </c>
      <c r="S350" s="17" t="n"/>
    </row>
    <row r="351">
      <c r="A351" s="16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6" t="n"/>
      <c r="K351" s="16">
        <f>IF(OR(J351="",I351="Won",I351="Lost",I351="Not a fit",L351="Yes"),"",J351+Settings!$B$8)</f>
        <v/>
      </c>
      <c r="L351" s="17" t="n"/>
      <c r="M351" s="17" t="n"/>
      <c r="N351" s="18" t="n"/>
      <c r="O351" s="18" t="n"/>
      <c r="P351" s="17" t="n"/>
      <c r="Q351" s="18">
        <f>IF(AND(I351="Won",P351&lt;&gt;"",N351&gt;=Settings!$B$7),MIN(N351*Settings!$B$2,Settings!$B$3),0)</f>
        <v/>
      </c>
      <c r="R351" s="18">
        <f>IF(AND(I351="Won",P351&lt;&gt;""),O351*Settings!$B$4,0)</f>
        <v/>
      </c>
      <c r="S351" s="17" t="n"/>
    </row>
    <row r="352">
      <c r="A352" s="16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6" t="n"/>
      <c r="K352" s="16">
        <f>IF(OR(J352="",I352="Won",I352="Lost",I352="Not a fit",L352="Yes"),"",J352+Settings!$B$8)</f>
        <v/>
      </c>
      <c r="L352" s="17" t="n"/>
      <c r="M352" s="17" t="n"/>
      <c r="N352" s="18" t="n"/>
      <c r="O352" s="18" t="n"/>
      <c r="P352" s="17" t="n"/>
      <c r="Q352" s="18">
        <f>IF(AND(I352="Won",P352&lt;&gt;"",N352&gt;=Settings!$B$7),MIN(N352*Settings!$B$2,Settings!$B$3),0)</f>
        <v/>
      </c>
      <c r="R352" s="18">
        <f>IF(AND(I352="Won",P352&lt;&gt;""),O352*Settings!$B$4,0)</f>
        <v/>
      </c>
      <c r="S352" s="17" t="n"/>
    </row>
    <row r="353">
      <c r="A353" s="16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6" t="n"/>
      <c r="K353" s="16">
        <f>IF(OR(J353="",I353="Won",I353="Lost",I353="Not a fit",L353="Yes"),"",J353+Settings!$B$8)</f>
        <v/>
      </c>
      <c r="L353" s="17" t="n"/>
      <c r="M353" s="17" t="n"/>
      <c r="N353" s="18" t="n"/>
      <c r="O353" s="18" t="n"/>
      <c r="P353" s="17" t="n"/>
      <c r="Q353" s="18">
        <f>IF(AND(I353="Won",P353&lt;&gt;"",N353&gt;=Settings!$B$7),MIN(N353*Settings!$B$2,Settings!$B$3),0)</f>
        <v/>
      </c>
      <c r="R353" s="18">
        <f>IF(AND(I353="Won",P353&lt;&gt;""),O353*Settings!$B$4,0)</f>
        <v/>
      </c>
      <c r="S353" s="17" t="n"/>
    </row>
    <row r="354">
      <c r="A354" s="16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6" t="n"/>
      <c r="K354" s="16">
        <f>IF(OR(J354="",I354="Won",I354="Lost",I354="Not a fit",L354="Yes"),"",J354+Settings!$B$8)</f>
        <v/>
      </c>
      <c r="L354" s="17" t="n"/>
      <c r="M354" s="17" t="n"/>
      <c r="N354" s="18" t="n"/>
      <c r="O354" s="18" t="n"/>
      <c r="P354" s="17" t="n"/>
      <c r="Q354" s="18">
        <f>IF(AND(I354="Won",P354&lt;&gt;"",N354&gt;=Settings!$B$7),MIN(N354*Settings!$B$2,Settings!$B$3),0)</f>
        <v/>
      </c>
      <c r="R354" s="18">
        <f>IF(AND(I354="Won",P354&lt;&gt;""),O354*Settings!$B$4,0)</f>
        <v/>
      </c>
      <c r="S354" s="17" t="n"/>
    </row>
    <row r="355">
      <c r="A355" s="16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6" t="n"/>
      <c r="K355" s="16">
        <f>IF(OR(J355="",I355="Won",I355="Lost",I355="Not a fit",L355="Yes"),"",J355+Settings!$B$8)</f>
        <v/>
      </c>
      <c r="L355" s="17" t="n"/>
      <c r="M355" s="17" t="n"/>
      <c r="N355" s="18" t="n"/>
      <c r="O355" s="18" t="n"/>
      <c r="P355" s="17" t="n"/>
      <c r="Q355" s="18">
        <f>IF(AND(I355="Won",P355&lt;&gt;"",N355&gt;=Settings!$B$7),MIN(N355*Settings!$B$2,Settings!$B$3),0)</f>
        <v/>
      </c>
      <c r="R355" s="18">
        <f>IF(AND(I355="Won",P355&lt;&gt;""),O355*Settings!$B$4,0)</f>
        <v/>
      </c>
      <c r="S355" s="17" t="n"/>
    </row>
    <row r="356">
      <c r="A356" s="16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6" t="n"/>
      <c r="K356" s="16">
        <f>IF(OR(J356="",I356="Won",I356="Lost",I356="Not a fit",L356="Yes"),"",J356+Settings!$B$8)</f>
        <v/>
      </c>
      <c r="L356" s="17" t="n"/>
      <c r="M356" s="17" t="n"/>
      <c r="N356" s="18" t="n"/>
      <c r="O356" s="18" t="n"/>
      <c r="P356" s="17" t="n"/>
      <c r="Q356" s="18">
        <f>IF(AND(I356="Won",P356&lt;&gt;"",N356&gt;=Settings!$B$7),MIN(N356*Settings!$B$2,Settings!$B$3),0)</f>
        <v/>
      </c>
      <c r="R356" s="18">
        <f>IF(AND(I356="Won",P356&lt;&gt;""),O356*Settings!$B$4,0)</f>
        <v/>
      </c>
      <c r="S356" s="17" t="n"/>
    </row>
    <row r="357">
      <c r="A357" s="16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6" t="n"/>
      <c r="K357" s="16">
        <f>IF(OR(J357="",I357="Won",I357="Lost",I357="Not a fit",L357="Yes"),"",J357+Settings!$B$8)</f>
        <v/>
      </c>
      <c r="L357" s="17" t="n"/>
      <c r="M357" s="17" t="n"/>
      <c r="N357" s="18" t="n"/>
      <c r="O357" s="18" t="n"/>
      <c r="P357" s="17" t="n"/>
      <c r="Q357" s="18">
        <f>IF(AND(I357="Won",P357&lt;&gt;"",N357&gt;=Settings!$B$7),MIN(N357*Settings!$B$2,Settings!$B$3),0)</f>
        <v/>
      </c>
      <c r="R357" s="18">
        <f>IF(AND(I357="Won",P357&lt;&gt;""),O357*Settings!$B$4,0)</f>
        <v/>
      </c>
      <c r="S357" s="17" t="n"/>
    </row>
    <row r="358">
      <c r="A358" s="16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6" t="n"/>
      <c r="K358" s="16">
        <f>IF(OR(J358="",I358="Won",I358="Lost",I358="Not a fit",L358="Yes"),"",J358+Settings!$B$8)</f>
        <v/>
      </c>
      <c r="L358" s="17" t="n"/>
      <c r="M358" s="17" t="n"/>
      <c r="N358" s="18" t="n"/>
      <c r="O358" s="18" t="n"/>
      <c r="P358" s="17" t="n"/>
      <c r="Q358" s="18">
        <f>IF(AND(I358="Won",P358&lt;&gt;"",N358&gt;=Settings!$B$7),MIN(N358*Settings!$B$2,Settings!$B$3),0)</f>
        <v/>
      </c>
      <c r="R358" s="18">
        <f>IF(AND(I358="Won",P358&lt;&gt;""),O358*Settings!$B$4,0)</f>
        <v/>
      </c>
      <c r="S358" s="17" t="n"/>
    </row>
    <row r="359">
      <c r="A359" s="16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6" t="n"/>
      <c r="K359" s="16">
        <f>IF(OR(J359="",I359="Won",I359="Lost",I359="Not a fit",L359="Yes"),"",J359+Settings!$B$8)</f>
        <v/>
      </c>
      <c r="L359" s="17" t="n"/>
      <c r="M359" s="17" t="n"/>
      <c r="N359" s="18" t="n"/>
      <c r="O359" s="18" t="n"/>
      <c r="P359" s="17" t="n"/>
      <c r="Q359" s="18">
        <f>IF(AND(I359="Won",P359&lt;&gt;"",N359&gt;=Settings!$B$7),MIN(N359*Settings!$B$2,Settings!$B$3),0)</f>
        <v/>
      </c>
      <c r="R359" s="18">
        <f>IF(AND(I359="Won",P359&lt;&gt;""),O359*Settings!$B$4,0)</f>
        <v/>
      </c>
      <c r="S359" s="17" t="n"/>
    </row>
    <row r="360">
      <c r="A360" s="16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6" t="n"/>
      <c r="K360" s="16">
        <f>IF(OR(J360="",I360="Won",I360="Lost",I360="Not a fit",L360="Yes"),"",J360+Settings!$B$8)</f>
        <v/>
      </c>
      <c r="L360" s="17" t="n"/>
      <c r="M360" s="17" t="n"/>
      <c r="N360" s="18" t="n"/>
      <c r="O360" s="18" t="n"/>
      <c r="P360" s="17" t="n"/>
      <c r="Q360" s="18">
        <f>IF(AND(I360="Won",P360&lt;&gt;"",N360&gt;=Settings!$B$7),MIN(N360*Settings!$B$2,Settings!$B$3),0)</f>
        <v/>
      </c>
      <c r="R360" s="18">
        <f>IF(AND(I360="Won",P360&lt;&gt;""),O360*Settings!$B$4,0)</f>
        <v/>
      </c>
      <c r="S360" s="17" t="n"/>
    </row>
    <row r="361">
      <c r="A361" s="16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6" t="n"/>
      <c r="K361" s="16">
        <f>IF(OR(J361="",I361="Won",I361="Lost",I361="Not a fit",L361="Yes"),"",J361+Settings!$B$8)</f>
        <v/>
      </c>
      <c r="L361" s="17" t="n"/>
      <c r="M361" s="17" t="n"/>
      <c r="N361" s="18" t="n"/>
      <c r="O361" s="18" t="n"/>
      <c r="P361" s="17" t="n"/>
      <c r="Q361" s="18">
        <f>IF(AND(I361="Won",P361&lt;&gt;"",N361&gt;=Settings!$B$7),MIN(N361*Settings!$B$2,Settings!$B$3),0)</f>
        <v/>
      </c>
      <c r="R361" s="18">
        <f>IF(AND(I361="Won",P361&lt;&gt;""),O361*Settings!$B$4,0)</f>
        <v/>
      </c>
      <c r="S361" s="17" t="n"/>
    </row>
    <row r="362">
      <c r="A362" s="16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6" t="n"/>
      <c r="K362" s="16">
        <f>IF(OR(J362="",I362="Won",I362="Lost",I362="Not a fit",L362="Yes"),"",J362+Settings!$B$8)</f>
        <v/>
      </c>
      <c r="L362" s="17" t="n"/>
      <c r="M362" s="17" t="n"/>
      <c r="N362" s="18" t="n"/>
      <c r="O362" s="18" t="n"/>
      <c r="P362" s="17" t="n"/>
      <c r="Q362" s="18">
        <f>IF(AND(I362="Won",P362&lt;&gt;"",N362&gt;=Settings!$B$7),MIN(N362*Settings!$B$2,Settings!$B$3),0)</f>
        <v/>
      </c>
      <c r="R362" s="18">
        <f>IF(AND(I362="Won",P362&lt;&gt;""),O362*Settings!$B$4,0)</f>
        <v/>
      </c>
      <c r="S362" s="17" t="n"/>
    </row>
    <row r="363">
      <c r="A363" s="16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6" t="n"/>
      <c r="K363" s="16">
        <f>IF(OR(J363="",I363="Won",I363="Lost",I363="Not a fit",L363="Yes"),"",J363+Settings!$B$8)</f>
        <v/>
      </c>
      <c r="L363" s="17" t="n"/>
      <c r="M363" s="17" t="n"/>
      <c r="N363" s="18" t="n"/>
      <c r="O363" s="18" t="n"/>
      <c r="P363" s="17" t="n"/>
      <c r="Q363" s="18">
        <f>IF(AND(I363="Won",P363&lt;&gt;"",N363&gt;=Settings!$B$7),MIN(N363*Settings!$B$2,Settings!$B$3),0)</f>
        <v/>
      </c>
      <c r="R363" s="18">
        <f>IF(AND(I363="Won",P363&lt;&gt;""),O363*Settings!$B$4,0)</f>
        <v/>
      </c>
      <c r="S363" s="17" t="n"/>
    </row>
    <row r="364">
      <c r="A364" s="16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6" t="n"/>
      <c r="K364" s="16">
        <f>IF(OR(J364="",I364="Won",I364="Lost",I364="Not a fit",L364="Yes"),"",J364+Settings!$B$8)</f>
        <v/>
      </c>
      <c r="L364" s="17" t="n"/>
      <c r="M364" s="17" t="n"/>
      <c r="N364" s="18" t="n"/>
      <c r="O364" s="18" t="n"/>
      <c r="P364" s="17" t="n"/>
      <c r="Q364" s="18">
        <f>IF(AND(I364="Won",P364&lt;&gt;"",N364&gt;=Settings!$B$7),MIN(N364*Settings!$B$2,Settings!$B$3),0)</f>
        <v/>
      </c>
      <c r="R364" s="18">
        <f>IF(AND(I364="Won",P364&lt;&gt;""),O364*Settings!$B$4,0)</f>
        <v/>
      </c>
      <c r="S364" s="17" t="n"/>
    </row>
    <row r="365">
      <c r="A365" s="16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6" t="n"/>
      <c r="K365" s="16">
        <f>IF(OR(J365="",I365="Won",I365="Lost",I365="Not a fit",L365="Yes"),"",J365+Settings!$B$8)</f>
        <v/>
      </c>
      <c r="L365" s="17" t="n"/>
      <c r="M365" s="17" t="n"/>
      <c r="N365" s="18" t="n"/>
      <c r="O365" s="18" t="n"/>
      <c r="P365" s="17" t="n"/>
      <c r="Q365" s="18">
        <f>IF(AND(I365="Won",P365&lt;&gt;"",N365&gt;=Settings!$B$7),MIN(N365*Settings!$B$2,Settings!$B$3),0)</f>
        <v/>
      </c>
      <c r="R365" s="18">
        <f>IF(AND(I365="Won",P365&lt;&gt;""),O365*Settings!$B$4,0)</f>
        <v/>
      </c>
      <c r="S365" s="17" t="n"/>
    </row>
    <row r="366">
      <c r="A366" s="16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6" t="n"/>
      <c r="K366" s="16">
        <f>IF(OR(J366="",I366="Won",I366="Lost",I366="Not a fit",L366="Yes"),"",J366+Settings!$B$8)</f>
        <v/>
      </c>
      <c r="L366" s="17" t="n"/>
      <c r="M366" s="17" t="n"/>
      <c r="N366" s="18" t="n"/>
      <c r="O366" s="18" t="n"/>
      <c r="P366" s="17" t="n"/>
      <c r="Q366" s="18">
        <f>IF(AND(I366="Won",P366&lt;&gt;"",N366&gt;=Settings!$B$7),MIN(N366*Settings!$B$2,Settings!$B$3),0)</f>
        <v/>
      </c>
      <c r="R366" s="18">
        <f>IF(AND(I366="Won",P366&lt;&gt;""),O366*Settings!$B$4,0)</f>
        <v/>
      </c>
      <c r="S366" s="17" t="n"/>
    </row>
    <row r="367">
      <c r="A367" s="16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6" t="n"/>
      <c r="K367" s="16">
        <f>IF(OR(J367="",I367="Won",I367="Lost",I367="Not a fit",L367="Yes"),"",J367+Settings!$B$8)</f>
        <v/>
      </c>
      <c r="L367" s="17" t="n"/>
      <c r="M367" s="17" t="n"/>
      <c r="N367" s="18" t="n"/>
      <c r="O367" s="18" t="n"/>
      <c r="P367" s="17" t="n"/>
      <c r="Q367" s="18">
        <f>IF(AND(I367="Won",P367&lt;&gt;"",N367&gt;=Settings!$B$7),MIN(N367*Settings!$B$2,Settings!$B$3),0)</f>
        <v/>
      </c>
      <c r="R367" s="18">
        <f>IF(AND(I367="Won",P367&lt;&gt;""),O367*Settings!$B$4,0)</f>
        <v/>
      </c>
      <c r="S367" s="17" t="n"/>
    </row>
    <row r="368">
      <c r="A368" s="16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6" t="n"/>
      <c r="K368" s="16">
        <f>IF(OR(J368="",I368="Won",I368="Lost",I368="Not a fit",L368="Yes"),"",J368+Settings!$B$8)</f>
        <v/>
      </c>
      <c r="L368" s="17" t="n"/>
      <c r="M368" s="17" t="n"/>
      <c r="N368" s="18" t="n"/>
      <c r="O368" s="18" t="n"/>
      <c r="P368" s="17" t="n"/>
      <c r="Q368" s="18">
        <f>IF(AND(I368="Won",P368&lt;&gt;"",N368&gt;=Settings!$B$7),MIN(N368*Settings!$B$2,Settings!$B$3),0)</f>
        <v/>
      </c>
      <c r="R368" s="18">
        <f>IF(AND(I368="Won",P368&lt;&gt;""),O368*Settings!$B$4,0)</f>
        <v/>
      </c>
      <c r="S368" s="17" t="n"/>
    </row>
    <row r="369">
      <c r="A369" s="16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6" t="n"/>
      <c r="K369" s="16">
        <f>IF(OR(J369="",I369="Won",I369="Lost",I369="Not a fit",L369="Yes"),"",J369+Settings!$B$8)</f>
        <v/>
      </c>
      <c r="L369" s="17" t="n"/>
      <c r="M369" s="17" t="n"/>
      <c r="N369" s="18" t="n"/>
      <c r="O369" s="18" t="n"/>
      <c r="P369" s="17" t="n"/>
      <c r="Q369" s="18">
        <f>IF(AND(I369="Won",P369&lt;&gt;"",N369&gt;=Settings!$B$7),MIN(N369*Settings!$B$2,Settings!$B$3),0)</f>
        <v/>
      </c>
      <c r="R369" s="18">
        <f>IF(AND(I369="Won",P369&lt;&gt;""),O369*Settings!$B$4,0)</f>
        <v/>
      </c>
      <c r="S369" s="17" t="n"/>
    </row>
    <row r="370">
      <c r="A370" s="16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6" t="n"/>
      <c r="K370" s="16">
        <f>IF(OR(J370="",I370="Won",I370="Lost",I370="Not a fit",L370="Yes"),"",J370+Settings!$B$8)</f>
        <v/>
      </c>
      <c r="L370" s="17" t="n"/>
      <c r="M370" s="17" t="n"/>
      <c r="N370" s="18" t="n"/>
      <c r="O370" s="18" t="n"/>
      <c r="P370" s="17" t="n"/>
      <c r="Q370" s="18">
        <f>IF(AND(I370="Won",P370&lt;&gt;"",N370&gt;=Settings!$B$7),MIN(N370*Settings!$B$2,Settings!$B$3),0)</f>
        <v/>
      </c>
      <c r="R370" s="18">
        <f>IF(AND(I370="Won",P370&lt;&gt;""),O370*Settings!$B$4,0)</f>
        <v/>
      </c>
      <c r="S370" s="17" t="n"/>
    </row>
    <row r="371">
      <c r="A371" s="16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6" t="n"/>
      <c r="K371" s="16">
        <f>IF(OR(J371="",I371="Won",I371="Lost",I371="Not a fit",L371="Yes"),"",J371+Settings!$B$8)</f>
        <v/>
      </c>
      <c r="L371" s="17" t="n"/>
      <c r="M371" s="17" t="n"/>
      <c r="N371" s="18" t="n"/>
      <c r="O371" s="18" t="n"/>
      <c r="P371" s="17" t="n"/>
      <c r="Q371" s="18">
        <f>IF(AND(I371="Won",P371&lt;&gt;"",N371&gt;=Settings!$B$7),MIN(N371*Settings!$B$2,Settings!$B$3),0)</f>
        <v/>
      </c>
      <c r="R371" s="18">
        <f>IF(AND(I371="Won",P371&lt;&gt;""),O371*Settings!$B$4,0)</f>
        <v/>
      </c>
      <c r="S371" s="17" t="n"/>
    </row>
    <row r="372">
      <c r="A372" s="16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6" t="n"/>
      <c r="K372" s="16">
        <f>IF(OR(J372="",I372="Won",I372="Lost",I372="Not a fit",L372="Yes"),"",J372+Settings!$B$8)</f>
        <v/>
      </c>
      <c r="L372" s="17" t="n"/>
      <c r="M372" s="17" t="n"/>
      <c r="N372" s="18" t="n"/>
      <c r="O372" s="18" t="n"/>
      <c r="P372" s="17" t="n"/>
      <c r="Q372" s="18">
        <f>IF(AND(I372="Won",P372&lt;&gt;"",N372&gt;=Settings!$B$7),MIN(N372*Settings!$B$2,Settings!$B$3),0)</f>
        <v/>
      </c>
      <c r="R372" s="18">
        <f>IF(AND(I372="Won",P372&lt;&gt;""),O372*Settings!$B$4,0)</f>
        <v/>
      </c>
      <c r="S372" s="17" t="n"/>
    </row>
    <row r="373">
      <c r="A373" s="16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6" t="n"/>
      <c r="K373" s="16">
        <f>IF(OR(J373="",I373="Won",I373="Lost",I373="Not a fit",L373="Yes"),"",J373+Settings!$B$8)</f>
        <v/>
      </c>
      <c r="L373" s="17" t="n"/>
      <c r="M373" s="17" t="n"/>
      <c r="N373" s="18" t="n"/>
      <c r="O373" s="18" t="n"/>
      <c r="P373" s="17" t="n"/>
      <c r="Q373" s="18">
        <f>IF(AND(I373="Won",P373&lt;&gt;"",N373&gt;=Settings!$B$7),MIN(N373*Settings!$B$2,Settings!$B$3),0)</f>
        <v/>
      </c>
      <c r="R373" s="18">
        <f>IF(AND(I373="Won",P373&lt;&gt;""),O373*Settings!$B$4,0)</f>
        <v/>
      </c>
      <c r="S373" s="17" t="n"/>
    </row>
    <row r="374">
      <c r="A374" s="16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6" t="n"/>
      <c r="K374" s="16">
        <f>IF(OR(J374="",I374="Won",I374="Lost",I374="Not a fit",L374="Yes"),"",J374+Settings!$B$8)</f>
        <v/>
      </c>
      <c r="L374" s="17" t="n"/>
      <c r="M374" s="17" t="n"/>
      <c r="N374" s="18" t="n"/>
      <c r="O374" s="18" t="n"/>
      <c r="P374" s="17" t="n"/>
      <c r="Q374" s="18">
        <f>IF(AND(I374="Won",P374&lt;&gt;"",N374&gt;=Settings!$B$7),MIN(N374*Settings!$B$2,Settings!$B$3),0)</f>
        <v/>
      </c>
      <c r="R374" s="18">
        <f>IF(AND(I374="Won",P374&lt;&gt;""),O374*Settings!$B$4,0)</f>
        <v/>
      </c>
      <c r="S374" s="17" t="n"/>
    </row>
    <row r="375">
      <c r="A375" s="16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6" t="n"/>
      <c r="K375" s="16">
        <f>IF(OR(J375="",I375="Won",I375="Lost",I375="Not a fit",L375="Yes"),"",J375+Settings!$B$8)</f>
        <v/>
      </c>
      <c r="L375" s="17" t="n"/>
      <c r="M375" s="17" t="n"/>
      <c r="N375" s="18" t="n"/>
      <c r="O375" s="18" t="n"/>
      <c r="P375" s="17" t="n"/>
      <c r="Q375" s="18">
        <f>IF(AND(I375="Won",P375&lt;&gt;"",N375&gt;=Settings!$B$7),MIN(N375*Settings!$B$2,Settings!$B$3),0)</f>
        <v/>
      </c>
      <c r="R375" s="18">
        <f>IF(AND(I375="Won",P375&lt;&gt;""),O375*Settings!$B$4,0)</f>
        <v/>
      </c>
      <c r="S375" s="17" t="n"/>
    </row>
    <row r="376">
      <c r="A376" s="16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6" t="n"/>
      <c r="K376" s="16">
        <f>IF(OR(J376="",I376="Won",I376="Lost",I376="Not a fit",L376="Yes"),"",J376+Settings!$B$8)</f>
        <v/>
      </c>
      <c r="L376" s="17" t="n"/>
      <c r="M376" s="17" t="n"/>
      <c r="N376" s="18" t="n"/>
      <c r="O376" s="18" t="n"/>
      <c r="P376" s="17" t="n"/>
      <c r="Q376" s="18">
        <f>IF(AND(I376="Won",P376&lt;&gt;"",N376&gt;=Settings!$B$7),MIN(N376*Settings!$B$2,Settings!$B$3),0)</f>
        <v/>
      </c>
      <c r="R376" s="18">
        <f>IF(AND(I376="Won",P376&lt;&gt;""),O376*Settings!$B$4,0)</f>
        <v/>
      </c>
      <c r="S376" s="17" t="n"/>
    </row>
    <row r="377">
      <c r="A377" s="16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6" t="n"/>
      <c r="K377" s="16">
        <f>IF(OR(J377="",I377="Won",I377="Lost",I377="Not a fit",L377="Yes"),"",J377+Settings!$B$8)</f>
        <v/>
      </c>
      <c r="L377" s="17" t="n"/>
      <c r="M377" s="17" t="n"/>
      <c r="N377" s="18" t="n"/>
      <c r="O377" s="18" t="n"/>
      <c r="P377" s="17" t="n"/>
      <c r="Q377" s="18">
        <f>IF(AND(I377="Won",P377&lt;&gt;"",N377&gt;=Settings!$B$7),MIN(N377*Settings!$B$2,Settings!$B$3),0)</f>
        <v/>
      </c>
      <c r="R377" s="18">
        <f>IF(AND(I377="Won",P377&lt;&gt;""),O377*Settings!$B$4,0)</f>
        <v/>
      </c>
      <c r="S377" s="17" t="n"/>
    </row>
    <row r="378">
      <c r="A378" s="16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6" t="n"/>
      <c r="K378" s="16">
        <f>IF(OR(J378="",I378="Won",I378="Lost",I378="Not a fit",L378="Yes"),"",J378+Settings!$B$8)</f>
        <v/>
      </c>
      <c r="L378" s="17" t="n"/>
      <c r="M378" s="17" t="n"/>
      <c r="N378" s="18" t="n"/>
      <c r="O378" s="18" t="n"/>
      <c r="P378" s="17" t="n"/>
      <c r="Q378" s="18">
        <f>IF(AND(I378="Won",P378&lt;&gt;"",N378&gt;=Settings!$B$7),MIN(N378*Settings!$B$2,Settings!$B$3),0)</f>
        <v/>
      </c>
      <c r="R378" s="18">
        <f>IF(AND(I378="Won",P378&lt;&gt;""),O378*Settings!$B$4,0)</f>
        <v/>
      </c>
      <c r="S378" s="17" t="n"/>
    </row>
    <row r="379">
      <c r="A379" s="16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6" t="n"/>
      <c r="K379" s="16">
        <f>IF(OR(J379="",I379="Won",I379="Lost",I379="Not a fit",L379="Yes"),"",J379+Settings!$B$8)</f>
        <v/>
      </c>
      <c r="L379" s="17" t="n"/>
      <c r="M379" s="17" t="n"/>
      <c r="N379" s="18" t="n"/>
      <c r="O379" s="18" t="n"/>
      <c r="P379" s="17" t="n"/>
      <c r="Q379" s="18">
        <f>IF(AND(I379="Won",P379&lt;&gt;"",N379&gt;=Settings!$B$7),MIN(N379*Settings!$B$2,Settings!$B$3),0)</f>
        <v/>
      </c>
      <c r="R379" s="18">
        <f>IF(AND(I379="Won",P379&lt;&gt;""),O379*Settings!$B$4,0)</f>
        <v/>
      </c>
      <c r="S379" s="17" t="n"/>
    </row>
    <row r="380">
      <c r="A380" s="16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6" t="n"/>
      <c r="K380" s="16">
        <f>IF(OR(J380="",I380="Won",I380="Lost",I380="Not a fit",L380="Yes"),"",J380+Settings!$B$8)</f>
        <v/>
      </c>
      <c r="L380" s="17" t="n"/>
      <c r="M380" s="17" t="n"/>
      <c r="N380" s="18" t="n"/>
      <c r="O380" s="18" t="n"/>
      <c r="P380" s="17" t="n"/>
      <c r="Q380" s="18">
        <f>IF(AND(I380="Won",P380&lt;&gt;"",N380&gt;=Settings!$B$7),MIN(N380*Settings!$B$2,Settings!$B$3),0)</f>
        <v/>
      </c>
      <c r="R380" s="18">
        <f>IF(AND(I380="Won",P380&lt;&gt;""),O380*Settings!$B$4,0)</f>
        <v/>
      </c>
      <c r="S380" s="17" t="n"/>
    </row>
    <row r="381">
      <c r="A381" s="16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6" t="n"/>
      <c r="K381" s="16">
        <f>IF(OR(J381="",I381="Won",I381="Lost",I381="Not a fit",L381="Yes"),"",J381+Settings!$B$8)</f>
        <v/>
      </c>
      <c r="L381" s="17" t="n"/>
      <c r="M381" s="17" t="n"/>
      <c r="N381" s="18" t="n"/>
      <c r="O381" s="18" t="n"/>
      <c r="P381" s="17" t="n"/>
      <c r="Q381" s="18">
        <f>IF(AND(I381="Won",P381&lt;&gt;"",N381&gt;=Settings!$B$7),MIN(N381*Settings!$B$2,Settings!$B$3),0)</f>
        <v/>
      </c>
      <c r="R381" s="18">
        <f>IF(AND(I381="Won",P381&lt;&gt;""),O381*Settings!$B$4,0)</f>
        <v/>
      </c>
      <c r="S381" s="17" t="n"/>
    </row>
    <row r="382">
      <c r="A382" s="16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6" t="n"/>
      <c r="K382" s="16">
        <f>IF(OR(J382="",I382="Won",I382="Lost",I382="Not a fit",L382="Yes"),"",J382+Settings!$B$8)</f>
        <v/>
      </c>
      <c r="L382" s="17" t="n"/>
      <c r="M382" s="17" t="n"/>
      <c r="N382" s="18" t="n"/>
      <c r="O382" s="18" t="n"/>
      <c r="P382" s="17" t="n"/>
      <c r="Q382" s="18">
        <f>IF(AND(I382="Won",P382&lt;&gt;"",N382&gt;=Settings!$B$7),MIN(N382*Settings!$B$2,Settings!$B$3),0)</f>
        <v/>
      </c>
      <c r="R382" s="18">
        <f>IF(AND(I382="Won",P382&lt;&gt;""),O382*Settings!$B$4,0)</f>
        <v/>
      </c>
      <c r="S382" s="17" t="n"/>
    </row>
    <row r="383">
      <c r="A383" s="16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6" t="n"/>
      <c r="K383" s="16">
        <f>IF(OR(J383="",I383="Won",I383="Lost",I383="Not a fit",L383="Yes"),"",J383+Settings!$B$8)</f>
        <v/>
      </c>
      <c r="L383" s="17" t="n"/>
      <c r="M383" s="17" t="n"/>
      <c r="N383" s="18" t="n"/>
      <c r="O383" s="18" t="n"/>
      <c r="P383" s="17" t="n"/>
      <c r="Q383" s="18">
        <f>IF(AND(I383="Won",P383&lt;&gt;"",N383&gt;=Settings!$B$7),MIN(N383*Settings!$B$2,Settings!$B$3),0)</f>
        <v/>
      </c>
      <c r="R383" s="18">
        <f>IF(AND(I383="Won",P383&lt;&gt;""),O383*Settings!$B$4,0)</f>
        <v/>
      </c>
      <c r="S383" s="17" t="n"/>
    </row>
    <row r="384">
      <c r="A384" s="16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6" t="n"/>
      <c r="K384" s="16">
        <f>IF(OR(J384="",I384="Won",I384="Lost",I384="Not a fit",L384="Yes"),"",J384+Settings!$B$8)</f>
        <v/>
      </c>
      <c r="L384" s="17" t="n"/>
      <c r="M384" s="17" t="n"/>
      <c r="N384" s="18" t="n"/>
      <c r="O384" s="18" t="n"/>
      <c r="P384" s="17" t="n"/>
      <c r="Q384" s="18">
        <f>IF(AND(I384="Won",P384&lt;&gt;"",N384&gt;=Settings!$B$7),MIN(N384*Settings!$B$2,Settings!$B$3),0)</f>
        <v/>
      </c>
      <c r="R384" s="18">
        <f>IF(AND(I384="Won",P384&lt;&gt;""),O384*Settings!$B$4,0)</f>
        <v/>
      </c>
      <c r="S384" s="17" t="n"/>
    </row>
    <row r="385">
      <c r="A385" s="16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6" t="n"/>
      <c r="K385" s="16">
        <f>IF(OR(J385="",I385="Won",I385="Lost",I385="Not a fit",L385="Yes"),"",J385+Settings!$B$8)</f>
        <v/>
      </c>
      <c r="L385" s="17" t="n"/>
      <c r="M385" s="17" t="n"/>
      <c r="N385" s="18" t="n"/>
      <c r="O385" s="18" t="n"/>
      <c r="P385" s="17" t="n"/>
      <c r="Q385" s="18">
        <f>IF(AND(I385="Won",P385&lt;&gt;"",N385&gt;=Settings!$B$7),MIN(N385*Settings!$B$2,Settings!$B$3),0)</f>
        <v/>
      </c>
      <c r="R385" s="18">
        <f>IF(AND(I385="Won",P385&lt;&gt;""),O385*Settings!$B$4,0)</f>
        <v/>
      </c>
      <c r="S385" s="17" t="n"/>
    </row>
    <row r="386">
      <c r="A386" s="16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6" t="n"/>
      <c r="K386" s="16">
        <f>IF(OR(J386="",I386="Won",I386="Lost",I386="Not a fit",L386="Yes"),"",J386+Settings!$B$8)</f>
        <v/>
      </c>
      <c r="L386" s="17" t="n"/>
      <c r="M386" s="17" t="n"/>
      <c r="N386" s="18" t="n"/>
      <c r="O386" s="18" t="n"/>
      <c r="P386" s="17" t="n"/>
      <c r="Q386" s="18">
        <f>IF(AND(I386="Won",P386&lt;&gt;"",N386&gt;=Settings!$B$7),MIN(N386*Settings!$B$2,Settings!$B$3),0)</f>
        <v/>
      </c>
      <c r="R386" s="18">
        <f>IF(AND(I386="Won",P386&lt;&gt;""),O386*Settings!$B$4,0)</f>
        <v/>
      </c>
      <c r="S386" s="17" t="n"/>
    </row>
    <row r="387">
      <c r="A387" s="16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6" t="n"/>
      <c r="K387" s="16">
        <f>IF(OR(J387="",I387="Won",I387="Lost",I387="Not a fit",L387="Yes"),"",J387+Settings!$B$8)</f>
        <v/>
      </c>
      <c r="L387" s="17" t="n"/>
      <c r="M387" s="17" t="n"/>
      <c r="N387" s="18" t="n"/>
      <c r="O387" s="18" t="n"/>
      <c r="P387" s="17" t="n"/>
      <c r="Q387" s="18">
        <f>IF(AND(I387="Won",P387&lt;&gt;"",N387&gt;=Settings!$B$7),MIN(N387*Settings!$B$2,Settings!$B$3),0)</f>
        <v/>
      </c>
      <c r="R387" s="18">
        <f>IF(AND(I387="Won",P387&lt;&gt;""),O387*Settings!$B$4,0)</f>
        <v/>
      </c>
      <c r="S387" s="17" t="n"/>
    </row>
    <row r="388">
      <c r="A388" s="16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6" t="n"/>
      <c r="K388" s="16">
        <f>IF(OR(J388="",I388="Won",I388="Lost",I388="Not a fit",L388="Yes"),"",J388+Settings!$B$8)</f>
        <v/>
      </c>
      <c r="L388" s="17" t="n"/>
      <c r="M388" s="17" t="n"/>
      <c r="N388" s="18" t="n"/>
      <c r="O388" s="18" t="n"/>
      <c r="P388" s="17" t="n"/>
      <c r="Q388" s="18">
        <f>IF(AND(I388="Won",P388&lt;&gt;"",N388&gt;=Settings!$B$7),MIN(N388*Settings!$B$2,Settings!$B$3),0)</f>
        <v/>
      </c>
      <c r="R388" s="18">
        <f>IF(AND(I388="Won",P388&lt;&gt;""),O388*Settings!$B$4,0)</f>
        <v/>
      </c>
      <c r="S388" s="17" t="n"/>
    </row>
    <row r="389">
      <c r="A389" s="16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6" t="n"/>
      <c r="K389" s="16">
        <f>IF(OR(J389="",I389="Won",I389="Lost",I389="Not a fit",L389="Yes"),"",J389+Settings!$B$8)</f>
        <v/>
      </c>
      <c r="L389" s="17" t="n"/>
      <c r="M389" s="17" t="n"/>
      <c r="N389" s="18" t="n"/>
      <c r="O389" s="18" t="n"/>
      <c r="P389" s="17" t="n"/>
      <c r="Q389" s="18">
        <f>IF(AND(I389="Won",P389&lt;&gt;"",N389&gt;=Settings!$B$7),MIN(N389*Settings!$B$2,Settings!$B$3),0)</f>
        <v/>
      </c>
      <c r="R389" s="18">
        <f>IF(AND(I389="Won",P389&lt;&gt;""),O389*Settings!$B$4,0)</f>
        <v/>
      </c>
      <c r="S389" s="17" t="n"/>
    </row>
    <row r="390">
      <c r="A390" s="16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6" t="n"/>
      <c r="K390" s="16">
        <f>IF(OR(J390="",I390="Won",I390="Lost",I390="Not a fit",L390="Yes"),"",J390+Settings!$B$8)</f>
        <v/>
      </c>
      <c r="L390" s="17" t="n"/>
      <c r="M390" s="17" t="n"/>
      <c r="N390" s="18" t="n"/>
      <c r="O390" s="18" t="n"/>
      <c r="P390" s="17" t="n"/>
      <c r="Q390" s="18">
        <f>IF(AND(I390="Won",P390&lt;&gt;"",N390&gt;=Settings!$B$7),MIN(N390*Settings!$B$2,Settings!$B$3),0)</f>
        <v/>
      </c>
      <c r="R390" s="18">
        <f>IF(AND(I390="Won",P390&lt;&gt;""),O390*Settings!$B$4,0)</f>
        <v/>
      </c>
      <c r="S390" s="17" t="n"/>
    </row>
    <row r="391">
      <c r="A391" s="16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6" t="n"/>
      <c r="K391" s="16">
        <f>IF(OR(J391="",I391="Won",I391="Lost",I391="Not a fit",L391="Yes"),"",J391+Settings!$B$8)</f>
        <v/>
      </c>
      <c r="L391" s="17" t="n"/>
      <c r="M391" s="17" t="n"/>
      <c r="N391" s="18" t="n"/>
      <c r="O391" s="18" t="n"/>
      <c r="P391" s="17" t="n"/>
      <c r="Q391" s="18">
        <f>IF(AND(I391="Won",P391&lt;&gt;"",N391&gt;=Settings!$B$7),MIN(N391*Settings!$B$2,Settings!$B$3),0)</f>
        <v/>
      </c>
      <c r="R391" s="18">
        <f>IF(AND(I391="Won",P391&lt;&gt;""),O391*Settings!$B$4,0)</f>
        <v/>
      </c>
      <c r="S391" s="17" t="n"/>
    </row>
    <row r="392">
      <c r="A392" s="16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6" t="n"/>
      <c r="K392" s="16">
        <f>IF(OR(J392="",I392="Won",I392="Lost",I392="Not a fit",L392="Yes"),"",J392+Settings!$B$8)</f>
        <v/>
      </c>
      <c r="L392" s="17" t="n"/>
      <c r="M392" s="17" t="n"/>
      <c r="N392" s="18" t="n"/>
      <c r="O392" s="18" t="n"/>
      <c r="P392" s="17" t="n"/>
      <c r="Q392" s="18">
        <f>IF(AND(I392="Won",P392&lt;&gt;"",N392&gt;=Settings!$B$7),MIN(N392*Settings!$B$2,Settings!$B$3),0)</f>
        <v/>
      </c>
      <c r="R392" s="18">
        <f>IF(AND(I392="Won",P392&lt;&gt;""),O392*Settings!$B$4,0)</f>
        <v/>
      </c>
      <c r="S392" s="17" t="n"/>
    </row>
    <row r="393">
      <c r="A393" s="16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6" t="n"/>
      <c r="K393" s="16">
        <f>IF(OR(J393="",I393="Won",I393="Lost",I393="Not a fit",L393="Yes"),"",J393+Settings!$B$8)</f>
        <v/>
      </c>
      <c r="L393" s="17" t="n"/>
      <c r="M393" s="17" t="n"/>
      <c r="N393" s="18" t="n"/>
      <c r="O393" s="18" t="n"/>
      <c r="P393" s="17" t="n"/>
      <c r="Q393" s="18">
        <f>IF(AND(I393="Won",P393&lt;&gt;"",N393&gt;=Settings!$B$7),MIN(N393*Settings!$B$2,Settings!$B$3),0)</f>
        <v/>
      </c>
      <c r="R393" s="18">
        <f>IF(AND(I393="Won",P393&lt;&gt;""),O393*Settings!$B$4,0)</f>
        <v/>
      </c>
      <c r="S393" s="17" t="n"/>
    </row>
    <row r="394">
      <c r="A394" s="16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6" t="n"/>
      <c r="K394" s="16">
        <f>IF(OR(J394="",I394="Won",I394="Lost",I394="Not a fit",L394="Yes"),"",J394+Settings!$B$8)</f>
        <v/>
      </c>
      <c r="L394" s="17" t="n"/>
      <c r="M394" s="17" t="n"/>
      <c r="N394" s="18" t="n"/>
      <c r="O394" s="18" t="n"/>
      <c r="P394" s="17" t="n"/>
      <c r="Q394" s="18">
        <f>IF(AND(I394="Won",P394&lt;&gt;"",N394&gt;=Settings!$B$7),MIN(N394*Settings!$B$2,Settings!$B$3),0)</f>
        <v/>
      </c>
      <c r="R394" s="18">
        <f>IF(AND(I394="Won",P394&lt;&gt;""),O394*Settings!$B$4,0)</f>
        <v/>
      </c>
      <c r="S394" s="17" t="n"/>
    </row>
    <row r="395">
      <c r="A395" s="16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6" t="n"/>
      <c r="K395" s="16">
        <f>IF(OR(J395="",I395="Won",I395="Lost",I395="Not a fit",L395="Yes"),"",J395+Settings!$B$8)</f>
        <v/>
      </c>
      <c r="L395" s="17" t="n"/>
      <c r="M395" s="17" t="n"/>
      <c r="N395" s="18" t="n"/>
      <c r="O395" s="18" t="n"/>
      <c r="P395" s="17" t="n"/>
      <c r="Q395" s="18">
        <f>IF(AND(I395="Won",P395&lt;&gt;"",N395&gt;=Settings!$B$7),MIN(N395*Settings!$B$2,Settings!$B$3),0)</f>
        <v/>
      </c>
      <c r="R395" s="18">
        <f>IF(AND(I395="Won",P395&lt;&gt;""),O395*Settings!$B$4,0)</f>
        <v/>
      </c>
      <c r="S395" s="17" t="n"/>
    </row>
    <row r="396">
      <c r="A396" s="16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6" t="n"/>
      <c r="K396" s="16">
        <f>IF(OR(J396="",I396="Won",I396="Lost",I396="Not a fit",L396="Yes"),"",J396+Settings!$B$8)</f>
        <v/>
      </c>
      <c r="L396" s="17" t="n"/>
      <c r="M396" s="17" t="n"/>
      <c r="N396" s="18" t="n"/>
      <c r="O396" s="18" t="n"/>
      <c r="P396" s="17" t="n"/>
      <c r="Q396" s="18">
        <f>IF(AND(I396="Won",P396&lt;&gt;"",N396&gt;=Settings!$B$7),MIN(N396*Settings!$B$2,Settings!$B$3),0)</f>
        <v/>
      </c>
      <c r="R396" s="18">
        <f>IF(AND(I396="Won",P396&lt;&gt;""),O396*Settings!$B$4,0)</f>
        <v/>
      </c>
      <c r="S396" s="17" t="n"/>
    </row>
    <row r="397">
      <c r="A397" s="16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6" t="n"/>
      <c r="K397" s="16">
        <f>IF(OR(J397="",I397="Won",I397="Lost",I397="Not a fit",L397="Yes"),"",J397+Settings!$B$8)</f>
        <v/>
      </c>
      <c r="L397" s="17" t="n"/>
      <c r="M397" s="17" t="n"/>
      <c r="N397" s="18" t="n"/>
      <c r="O397" s="18" t="n"/>
      <c r="P397" s="17" t="n"/>
      <c r="Q397" s="18">
        <f>IF(AND(I397="Won",P397&lt;&gt;"",N397&gt;=Settings!$B$7),MIN(N397*Settings!$B$2,Settings!$B$3),0)</f>
        <v/>
      </c>
      <c r="R397" s="18">
        <f>IF(AND(I397="Won",P397&lt;&gt;""),O397*Settings!$B$4,0)</f>
        <v/>
      </c>
      <c r="S397" s="17" t="n"/>
    </row>
    <row r="398">
      <c r="A398" s="16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6" t="n"/>
      <c r="K398" s="16">
        <f>IF(OR(J398="",I398="Won",I398="Lost",I398="Not a fit",L398="Yes"),"",J398+Settings!$B$8)</f>
        <v/>
      </c>
      <c r="L398" s="17" t="n"/>
      <c r="M398" s="17" t="n"/>
      <c r="N398" s="18" t="n"/>
      <c r="O398" s="18" t="n"/>
      <c r="P398" s="17" t="n"/>
      <c r="Q398" s="18">
        <f>IF(AND(I398="Won",P398&lt;&gt;"",N398&gt;=Settings!$B$7),MIN(N398*Settings!$B$2,Settings!$B$3),0)</f>
        <v/>
      </c>
      <c r="R398" s="18">
        <f>IF(AND(I398="Won",P398&lt;&gt;""),O398*Settings!$B$4,0)</f>
        <v/>
      </c>
      <c r="S398" s="17" t="n"/>
    </row>
    <row r="399">
      <c r="A399" s="16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6" t="n"/>
      <c r="K399" s="16">
        <f>IF(OR(J399="",I399="Won",I399="Lost",I399="Not a fit",L399="Yes"),"",J399+Settings!$B$8)</f>
        <v/>
      </c>
      <c r="L399" s="17" t="n"/>
      <c r="M399" s="17" t="n"/>
      <c r="N399" s="18" t="n"/>
      <c r="O399" s="18" t="n"/>
      <c r="P399" s="17" t="n"/>
      <c r="Q399" s="18">
        <f>IF(AND(I399="Won",P399&lt;&gt;"",N399&gt;=Settings!$B$7),MIN(N399*Settings!$B$2,Settings!$B$3),0)</f>
        <v/>
      </c>
      <c r="R399" s="18">
        <f>IF(AND(I399="Won",P399&lt;&gt;""),O399*Settings!$B$4,0)</f>
        <v/>
      </c>
      <c r="S399" s="17" t="n"/>
    </row>
    <row r="400">
      <c r="A400" s="16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6" t="n"/>
      <c r="K400" s="16">
        <f>IF(OR(J400="",I400="Won",I400="Lost",I400="Not a fit",L400="Yes"),"",J400+Settings!$B$8)</f>
        <v/>
      </c>
      <c r="L400" s="17" t="n"/>
      <c r="M400" s="17" t="n"/>
      <c r="N400" s="18" t="n"/>
      <c r="O400" s="18" t="n"/>
      <c r="P400" s="17" t="n"/>
      <c r="Q400" s="18">
        <f>IF(AND(I400="Won",P400&lt;&gt;"",N400&gt;=Settings!$B$7),MIN(N400*Settings!$B$2,Settings!$B$3),0)</f>
        <v/>
      </c>
      <c r="R400" s="18">
        <f>IF(AND(I400="Won",P400&lt;&gt;""),O400*Settings!$B$4,0)</f>
        <v/>
      </c>
      <c r="S400" s="17" t="n"/>
    </row>
    <row r="401">
      <c r="A401" s="16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6" t="n"/>
      <c r="K401" s="16">
        <f>IF(OR(J401="",I401="Won",I401="Lost",I401="Not a fit",L401="Yes"),"",J401+Settings!$B$8)</f>
        <v/>
      </c>
      <c r="L401" s="17" t="n"/>
      <c r="M401" s="17" t="n"/>
      <c r="N401" s="18" t="n"/>
      <c r="O401" s="18" t="n"/>
      <c r="P401" s="17" t="n"/>
      <c r="Q401" s="18">
        <f>IF(AND(I401="Won",P401&lt;&gt;"",N401&gt;=Settings!$B$7),MIN(N401*Settings!$B$2,Settings!$B$3),0)</f>
        <v/>
      </c>
      <c r="R401" s="18">
        <f>IF(AND(I401="Won",P401&lt;&gt;""),O401*Settings!$B$4,0)</f>
        <v/>
      </c>
      <c r="S401" s="17" t="n"/>
    </row>
    <row r="402">
      <c r="A402" s="16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6" t="n"/>
      <c r="K402" s="16">
        <f>IF(OR(J402="",I402="Won",I402="Lost",I402="Not a fit",L402="Yes"),"",J402+Settings!$B$8)</f>
        <v/>
      </c>
      <c r="L402" s="17" t="n"/>
      <c r="M402" s="17" t="n"/>
      <c r="N402" s="18" t="n"/>
      <c r="O402" s="18" t="n"/>
      <c r="P402" s="17" t="n"/>
      <c r="Q402" s="18">
        <f>IF(AND(I402="Won",P402&lt;&gt;"",N402&gt;=Settings!$B$7),MIN(N402*Settings!$B$2,Settings!$B$3),0)</f>
        <v/>
      </c>
      <c r="R402" s="18">
        <f>IF(AND(I402="Won",P402&lt;&gt;""),O402*Settings!$B$4,0)</f>
        <v/>
      </c>
      <c r="S402" s="17" t="n"/>
    </row>
    <row r="403">
      <c r="A403" s="16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6" t="n"/>
      <c r="K403" s="16">
        <f>IF(OR(J403="",I403="Won",I403="Lost",I403="Not a fit",L403="Yes"),"",J403+Settings!$B$8)</f>
        <v/>
      </c>
      <c r="L403" s="17" t="n"/>
      <c r="M403" s="17" t="n"/>
      <c r="N403" s="18" t="n"/>
      <c r="O403" s="18" t="n"/>
      <c r="P403" s="17" t="n"/>
      <c r="Q403" s="18">
        <f>IF(AND(I403="Won",P403&lt;&gt;"",N403&gt;=Settings!$B$7),MIN(N403*Settings!$B$2,Settings!$B$3),0)</f>
        <v/>
      </c>
      <c r="R403" s="18">
        <f>IF(AND(I403="Won",P403&lt;&gt;""),O403*Settings!$B$4,0)</f>
        <v/>
      </c>
      <c r="S403" s="17" t="n"/>
    </row>
    <row r="404">
      <c r="A404" s="16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6" t="n"/>
      <c r="K404" s="16">
        <f>IF(OR(J404="",I404="Won",I404="Lost",I404="Not a fit",L404="Yes"),"",J404+Settings!$B$8)</f>
        <v/>
      </c>
      <c r="L404" s="17" t="n"/>
      <c r="M404" s="17" t="n"/>
      <c r="N404" s="18" t="n"/>
      <c r="O404" s="18" t="n"/>
      <c r="P404" s="17" t="n"/>
      <c r="Q404" s="18">
        <f>IF(AND(I404="Won",P404&lt;&gt;"",N404&gt;=Settings!$B$7),MIN(N404*Settings!$B$2,Settings!$B$3),0)</f>
        <v/>
      </c>
      <c r="R404" s="18">
        <f>IF(AND(I404="Won",P404&lt;&gt;""),O404*Settings!$B$4,0)</f>
        <v/>
      </c>
      <c r="S404" s="17" t="n"/>
    </row>
    <row r="405">
      <c r="A405" s="16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6" t="n"/>
      <c r="K405" s="16">
        <f>IF(OR(J405="",I405="Won",I405="Lost",I405="Not a fit",L405="Yes"),"",J405+Settings!$B$8)</f>
        <v/>
      </c>
      <c r="L405" s="17" t="n"/>
      <c r="M405" s="17" t="n"/>
      <c r="N405" s="18" t="n"/>
      <c r="O405" s="18" t="n"/>
      <c r="P405" s="17" t="n"/>
      <c r="Q405" s="18">
        <f>IF(AND(I405="Won",P405&lt;&gt;"",N405&gt;=Settings!$B$7),MIN(N405*Settings!$B$2,Settings!$B$3),0)</f>
        <v/>
      </c>
      <c r="R405" s="18">
        <f>IF(AND(I405="Won",P405&lt;&gt;""),O405*Settings!$B$4,0)</f>
        <v/>
      </c>
      <c r="S405" s="17" t="n"/>
    </row>
    <row r="406">
      <c r="A406" s="16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6" t="n"/>
      <c r="K406" s="16">
        <f>IF(OR(J406="",I406="Won",I406="Lost",I406="Not a fit",L406="Yes"),"",J406+Settings!$B$8)</f>
        <v/>
      </c>
      <c r="L406" s="17" t="n"/>
      <c r="M406" s="17" t="n"/>
      <c r="N406" s="18" t="n"/>
      <c r="O406" s="18" t="n"/>
      <c r="P406" s="17" t="n"/>
      <c r="Q406" s="18">
        <f>IF(AND(I406="Won",P406&lt;&gt;"",N406&gt;=Settings!$B$7),MIN(N406*Settings!$B$2,Settings!$B$3),0)</f>
        <v/>
      </c>
      <c r="R406" s="18">
        <f>IF(AND(I406="Won",P406&lt;&gt;""),O406*Settings!$B$4,0)</f>
        <v/>
      </c>
      <c r="S406" s="17" t="n"/>
    </row>
    <row r="407">
      <c r="A407" s="16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6" t="n"/>
      <c r="K407" s="16">
        <f>IF(OR(J407="",I407="Won",I407="Lost",I407="Not a fit",L407="Yes"),"",J407+Settings!$B$8)</f>
        <v/>
      </c>
      <c r="L407" s="17" t="n"/>
      <c r="M407" s="17" t="n"/>
      <c r="N407" s="18" t="n"/>
      <c r="O407" s="18" t="n"/>
      <c r="P407" s="17" t="n"/>
      <c r="Q407" s="18">
        <f>IF(AND(I407="Won",P407&lt;&gt;"",N407&gt;=Settings!$B$7),MIN(N407*Settings!$B$2,Settings!$B$3),0)</f>
        <v/>
      </c>
      <c r="R407" s="18">
        <f>IF(AND(I407="Won",P407&lt;&gt;""),O407*Settings!$B$4,0)</f>
        <v/>
      </c>
      <c r="S407" s="17" t="n"/>
    </row>
    <row r="408">
      <c r="A408" s="16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6" t="n"/>
      <c r="K408" s="16">
        <f>IF(OR(J408="",I408="Won",I408="Lost",I408="Not a fit",L408="Yes"),"",J408+Settings!$B$8)</f>
        <v/>
      </c>
      <c r="L408" s="17" t="n"/>
      <c r="M408" s="17" t="n"/>
      <c r="N408" s="18" t="n"/>
      <c r="O408" s="18" t="n"/>
      <c r="P408" s="17" t="n"/>
      <c r="Q408" s="18">
        <f>IF(AND(I408="Won",P408&lt;&gt;"",N408&gt;=Settings!$B$7),MIN(N408*Settings!$B$2,Settings!$B$3),0)</f>
        <v/>
      </c>
      <c r="R408" s="18">
        <f>IF(AND(I408="Won",P408&lt;&gt;""),O408*Settings!$B$4,0)</f>
        <v/>
      </c>
      <c r="S408" s="17" t="n"/>
    </row>
    <row r="409">
      <c r="A409" s="16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6" t="n"/>
      <c r="K409" s="16">
        <f>IF(OR(J409="",I409="Won",I409="Lost",I409="Not a fit",L409="Yes"),"",J409+Settings!$B$8)</f>
        <v/>
      </c>
      <c r="L409" s="17" t="n"/>
      <c r="M409" s="17" t="n"/>
      <c r="N409" s="18" t="n"/>
      <c r="O409" s="18" t="n"/>
      <c r="P409" s="17" t="n"/>
      <c r="Q409" s="18">
        <f>IF(AND(I409="Won",P409&lt;&gt;"",N409&gt;=Settings!$B$7),MIN(N409*Settings!$B$2,Settings!$B$3),0)</f>
        <v/>
      </c>
      <c r="R409" s="18">
        <f>IF(AND(I409="Won",P409&lt;&gt;""),O409*Settings!$B$4,0)</f>
        <v/>
      </c>
      <c r="S409" s="17" t="n"/>
    </row>
    <row r="410">
      <c r="A410" s="16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6" t="n"/>
      <c r="K410" s="16">
        <f>IF(OR(J410="",I410="Won",I410="Lost",I410="Not a fit",L410="Yes"),"",J410+Settings!$B$8)</f>
        <v/>
      </c>
      <c r="L410" s="17" t="n"/>
      <c r="M410" s="17" t="n"/>
      <c r="N410" s="18" t="n"/>
      <c r="O410" s="18" t="n"/>
      <c r="P410" s="17" t="n"/>
      <c r="Q410" s="18">
        <f>IF(AND(I410="Won",P410&lt;&gt;"",N410&gt;=Settings!$B$7),MIN(N410*Settings!$B$2,Settings!$B$3),0)</f>
        <v/>
      </c>
      <c r="R410" s="18">
        <f>IF(AND(I410="Won",P410&lt;&gt;""),O410*Settings!$B$4,0)</f>
        <v/>
      </c>
      <c r="S410" s="17" t="n"/>
    </row>
    <row r="411">
      <c r="A411" s="16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6" t="n"/>
      <c r="K411" s="16">
        <f>IF(OR(J411="",I411="Won",I411="Lost",I411="Not a fit",L411="Yes"),"",J411+Settings!$B$8)</f>
        <v/>
      </c>
      <c r="L411" s="17" t="n"/>
      <c r="M411" s="17" t="n"/>
      <c r="N411" s="18" t="n"/>
      <c r="O411" s="18" t="n"/>
      <c r="P411" s="17" t="n"/>
      <c r="Q411" s="18">
        <f>IF(AND(I411="Won",P411&lt;&gt;"",N411&gt;=Settings!$B$7),MIN(N411*Settings!$B$2,Settings!$B$3),0)</f>
        <v/>
      </c>
      <c r="R411" s="18">
        <f>IF(AND(I411="Won",P411&lt;&gt;""),O411*Settings!$B$4,0)</f>
        <v/>
      </c>
      <c r="S411" s="17" t="n"/>
    </row>
    <row r="412">
      <c r="A412" s="16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6" t="n"/>
      <c r="K412" s="16">
        <f>IF(OR(J412="",I412="Won",I412="Lost",I412="Not a fit",L412="Yes"),"",J412+Settings!$B$8)</f>
        <v/>
      </c>
      <c r="L412" s="17" t="n"/>
      <c r="M412" s="17" t="n"/>
      <c r="N412" s="18" t="n"/>
      <c r="O412" s="18" t="n"/>
      <c r="P412" s="17" t="n"/>
      <c r="Q412" s="18">
        <f>IF(AND(I412="Won",P412&lt;&gt;"",N412&gt;=Settings!$B$7),MIN(N412*Settings!$B$2,Settings!$B$3),0)</f>
        <v/>
      </c>
      <c r="R412" s="18">
        <f>IF(AND(I412="Won",P412&lt;&gt;""),O412*Settings!$B$4,0)</f>
        <v/>
      </c>
      <c r="S412" s="17" t="n"/>
    </row>
    <row r="413">
      <c r="A413" s="16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6" t="n"/>
      <c r="K413" s="16">
        <f>IF(OR(J413="",I413="Won",I413="Lost",I413="Not a fit",L413="Yes"),"",J413+Settings!$B$8)</f>
        <v/>
      </c>
      <c r="L413" s="17" t="n"/>
      <c r="M413" s="17" t="n"/>
      <c r="N413" s="18" t="n"/>
      <c r="O413" s="18" t="n"/>
      <c r="P413" s="17" t="n"/>
      <c r="Q413" s="18">
        <f>IF(AND(I413="Won",P413&lt;&gt;"",N413&gt;=Settings!$B$7),MIN(N413*Settings!$B$2,Settings!$B$3),0)</f>
        <v/>
      </c>
      <c r="R413" s="18">
        <f>IF(AND(I413="Won",P413&lt;&gt;""),O413*Settings!$B$4,0)</f>
        <v/>
      </c>
      <c r="S413" s="17" t="n"/>
    </row>
    <row r="414">
      <c r="A414" s="16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6" t="n"/>
      <c r="K414" s="16">
        <f>IF(OR(J414="",I414="Won",I414="Lost",I414="Not a fit",L414="Yes"),"",J414+Settings!$B$8)</f>
        <v/>
      </c>
      <c r="L414" s="17" t="n"/>
      <c r="M414" s="17" t="n"/>
      <c r="N414" s="18" t="n"/>
      <c r="O414" s="18" t="n"/>
      <c r="P414" s="17" t="n"/>
      <c r="Q414" s="18">
        <f>IF(AND(I414="Won",P414&lt;&gt;"",N414&gt;=Settings!$B$7),MIN(N414*Settings!$B$2,Settings!$B$3),0)</f>
        <v/>
      </c>
      <c r="R414" s="18">
        <f>IF(AND(I414="Won",P414&lt;&gt;""),O414*Settings!$B$4,0)</f>
        <v/>
      </c>
      <c r="S414" s="17" t="n"/>
    </row>
    <row r="415">
      <c r="A415" s="16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6" t="n"/>
      <c r="K415" s="16">
        <f>IF(OR(J415="",I415="Won",I415="Lost",I415="Not a fit",L415="Yes"),"",J415+Settings!$B$8)</f>
        <v/>
      </c>
      <c r="L415" s="17" t="n"/>
      <c r="M415" s="17" t="n"/>
      <c r="N415" s="18" t="n"/>
      <c r="O415" s="18" t="n"/>
      <c r="P415" s="17" t="n"/>
      <c r="Q415" s="18">
        <f>IF(AND(I415="Won",P415&lt;&gt;"",N415&gt;=Settings!$B$7),MIN(N415*Settings!$B$2,Settings!$B$3),0)</f>
        <v/>
      </c>
      <c r="R415" s="18">
        <f>IF(AND(I415="Won",P415&lt;&gt;""),O415*Settings!$B$4,0)</f>
        <v/>
      </c>
      <c r="S415" s="17" t="n"/>
    </row>
    <row r="416">
      <c r="A416" s="16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6" t="n"/>
      <c r="K416" s="16">
        <f>IF(OR(J416="",I416="Won",I416="Lost",I416="Not a fit",L416="Yes"),"",J416+Settings!$B$8)</f>
        <v/>
      </c>
      <c r="L416" s="17" t="n"/>
      <c r="M416" s="17" t="n"/>
      <c r="N416" s="18" t="n"/>
      <c r="O416" s="18" t="n"/>
      <c r="P416" s="17" t="n"/>
      <c r="Q416" s="18">
        <f>IF(AND(I416="Won",P416&lt;&gt;"",N416&gt;=Settings!$B$7),MIN(N416*Settings!$B$2,Settings!$B$3),0)</f>
        <v/>
      </c>
      <c r="R416" s="18">
        <f>IF(AND(I416="Won",P416&lt;&gt;""),O416*Settings!$B$4,0)</f>
        <v/>
      </c>
      <c r="S416" s="17" t="n"/>
    </row>
    <row r="417">
      <c r="A417" s="16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6" t="n"/>
      <c r="K417" s="16">
        <f>IF(OR(J417="",I417="Won",I417="Lost",I417="Not a fit",L417="Yes"),"",J417+Settings!$B$8)</f>
        <v/>
      </c>
      <c r="L417" s="17" t="n"/>
      <c r="M417" s="17" t="n"/>
      <c r="N417" s="18" t="n"/>
      <c r="O417" s="18" t="n"/>
      <c r="P417" s="17" t="n"/>
      <c r="Q417" s="18">
        <f>IF(AND(I417="Won",P417&lt;&gt;"",N417&gt;=Settings!$B$7),MIN(N417*Settings!$B$2,Settings!$B$3),0)</f>
        <v/>
      </c>
      <c r="R417" s="18">
        <f>IF(AND(I417="Won",P417&lt;&gt;""),O417*Settings!$B$4,0)</f>
        <v/>
      </c>
      <c r="S417" s="17" t="n"/>
    </row>
    <row r="418">
      <c r="A418" s="16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6" t="n"/>
      <c r="K418" s="16">
        <f>IF(OR(J418="",I418="Won",I418="Lost",I418="Not a fit",L418="Yes"),"",J418+Settings!$B$8)</f>
        <v/>
      </c>
      <c r="L418" s="17" t="n"/>
      <c r="M418" s="17" t="n"/>
      <c r="N418" s="18" t="n"/>
      <c r="O418" s="18" t="n"/>
      <c r="P418" s="17" t="n"/>
      <c r="Q418" s="18">
        <f>IF(AND(I418="Won",P418&lt;&gt;"",N418&gt;=Settings!$B$7),MIN(N418*Settings!$B$2,Settings!$B$3),0)</f>
        <v/>
      </c>
      <c r="R418" s="18">
        <f>IF(AND(I418="Won",P418&lt;&gt;""),O418*Settings!$B$4,0)</f>
        <v/>
      </c>
      <c r="S418" s="17" t="n"/>
    </row>
    <row r="419">
      <c r="A419" s="16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6" t="n"/>
      <c r="K419" s="16">
        <f>IF(OR(J419="",I419="Won",I419="Lost",I419="Not a fit",L419="Yes"),"",J419+Settings!$B$8)</f>
        <v/>
      </c>
      <c r="L419" s="17" t="n"/>
      <c r="M419" s="17" t="n"/>
      <c r="N419" s="18" t="n"/>
      <c r="O419" s="18" t="n"/>
      <c r="P419" s="17" t="n"/>
      <c r="Q419" s="18">
        <f>IF(AND(I419="Won",P419&lt;&gt;"",N419&gt;=Settings!$B$7),MIN(N419*Settings!$B$2,Settings!$B$3),0)</f>
        <v/>
      </c>
      <c r="R419" s="18">
        <f>IF(AND(I419="Won",P419&lt;&gt;""),O419*Settings!$B$4,0)</f>
        <v/>
      </c>
      <c r="S419" s="17" t="n"/>
    </row>
    <row r="420">
      <c r="A420" s="16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6" t="n"/>
      <c r="K420" s="16">
        <f>IF(OR(J420="",I420="Won",I420="Lost",I420="Not a fit",L420="Yes"),"",J420+Settings!$B$8)</f>
        <v/>
      </c>
      <c r="L420" s="17" t="n"/>
      <c r="M420" s="17" t="n"/>
      <c r="N420" s="18" t="n"/>
      <c r="O420" s="18" t="n"/>
      <c r="P420" s="17" t="n"/>
      <c r="Q420" s="18">
        <f>IF(AND(I420="Won",P420&lt;&gt;"",N420&gt;=Settings!$B$7),MIN(N420*Settings!$B$2,Settings!$B$3),0)</f>
        <v/>
      </c>
      <c r="R420" s="18">
        <f>IF(AND(I420="Won",P420&lt;&gt;""),O420*Settings!$B$4,0)</f>
        <v/>
      </c>
      <c r="S420" s="17" t="n"/>
    </row>
    <row r="421">
      <c r="A421" s="16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6" t="n"/>
      <c r="K421" s="16">
        <f>IF(OR(J421="",I421="Won",I421="Lost",I421="Not a fit",L421="Yes"),"",J421+Settings!$B$8)</f>
        <v/>
      </c>
      <c r="L421" s="17" t="n"/>
      <c r="M421" s="17" t="n"/>
      <c r="N421" s="18" t="n"/>
      <c r="O421" s="18" t="n"/>
      <c r="P421" s="17" t="n"/>
      <c r="Q421" s="18">
        <f>IF(AND(I421="Won",P421&lt;&gt;"",N421&gt;=Settings!$B$7),MIN(N421*Settings!$B$2,Settings!$B$3),0)</f>
        <v/>
      </c>
      <c r="R421" s="18">
        <f>IF(AND(I421="Won",P421&lt;&gt;""),O421*Settings!$B$4,0)</f>
        <v/>
      </c>
      <c r="S421" s="17" t="n"/>
    </row>
    <row r="422">
      <c r="A422" s="16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6" t="n"/>
      <c r="K422" s="16">
        <f>IF(OR(J422="",I422="Won",I422="Lost",I422="Not a fit",L422="Yes"),"",J422+Settings!$B$8)</f>
        <v/>
      </c>
      <c r="L422" s="17" t="n"/>
      <c r="M422" s="17" t="n"/>
      <c r="N422" s="18" t="n"/>
      <c r="O422" s="18" t="n"/>
      <c r="P422" s="17" t="n"/>
      <c r="Q422" s="18">
        <f>IF(AND(I422="Won",P422&lt;&gt;"",N422&gt;=Settings!$B$7),MIN(N422*Settings!$B$2,Settings!$B$3),0)</f>
        <v/>
      </c>
      <c r="R422" s="18">
        <f>IF(AND(I422="Won",P422&lt;&gt;""),O422*Settings!$B$4,0)</f>
        <v/>
      </c>
      <c r="S422" s="17" t="n"/>
    </row>
    <row r="423">
      <c r="A423" s="16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6" t="n"/>
      <c r="K423" s="16">
        <f>IF(OR(J423="",I423="Won",I423="Lost",I423="Not a fit",L423="Yes"),"",J423+Settings!$B$8)</f>
        <v/>
      </c>
      <c r="L423" s="17" t="n"/>
      <c r="M423" s="17" t="n"/>
      <c r="N423" s="18" t="n"/>
      <c r="O423" s="18" t="n"/>
      <c r="P423" s="17" t="n"/>
      <c r="Q423" s="18">
        <f>IF(AND(I423="Won",P423&lt;&gt;"",N423&gt;=Settings!$B$7),MIN(N423*Settings!$B$2,Settings!$B$3),0)</f>
        <v/>
      </c>
      <c r="R423" s="18">
        <f>IF(AND(I423="Won",P423&lt;&gt;""),O423*Settings!$B$4,0)</f>
        <v/>
      </c>
      <c r="S423" s="17" t="n"/>
    </row>
    <row r="424">
      <c r="A424" s="16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6" t="n"/>
      <c r="K424" s="16">
        <f>IF(OR(J424="",I424="Won",I424="Lost",I424="Not a fit",L424="Yes"),"",J424+Settings!$B$8)</f>
        <v/>
      </c>
      <c r="L424" s="17" t="n"/>
      <c r="M424" s="17" t="n"/>
      <c r="N424" s="18" t="n"/>
      <c r="O424" s="18" t="n"/>
      <c r="P424" s="17" t="n"/>
      <c r="Q424" s="18">
        <f>IF(AND(I424="Won",P424&lt;&gt;"",N424&gt;=Settings!$B$7),MIN(N424*Settings!$B$2,Settings!$B$3),0)</f>
        <v/>
      </c>
      <c r="R424" s="18">
        <f>IF(AND(I424="Won",P424&lt;&gt;""),O424*Settings!$B$4,0)</f>
        <v/>
      </c>
      <c r="S424" s="17" t="n"/>
    </row>
    <row r="425">
      <c r="A425" s="16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6" t="n"/>
      <c r="K425" s="16">
        <f>IF(OR(J425="",I425="Won",I425="Lost",I425="Not a fit",L425="Yes"),"",J425+Settings!$B$8)</f>
        <v/>
      </c>
      <c r="L425" s="17" t="n"/>
      <c r="M425" s="17" t="n"/>
      <c r="N425" s="18" t="n"/>
      <c r="O425" s="18" t="n"/>
      <c r="P425" s="17" t="n"/>
      <c r="Q425" s="18">
        <f>IF(AND(I425="Won",P425&lt;&gt;"",N425&gt;=Settings!$B$7),MIN(N425*Settings!$B$2,Settings!$B$3),0)</f>
        <v/>
      </c>
      <c r="R425" s="18">
        <f>IF(AND(I425="Won",P425&lt;&gt;""),O425*Settings!$B$4,0)</f>
        <v/>
      </c>
      <c r="S425" s="17" t="n"/>
    </row>
    <row r="426">
      <c r="A426" s="16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6" t="n"/>
      <c r="K426" s="16">
        <f>IF(OR(J426="",I426="Won",I426="Lost",I426="Not a fit",L426="Yes"),"",J426+Settings!$B$8)</f>
        <v/>
      </c>
      <c r="L426" s="17" t="n"/>
      <c r="M426" s="17" t="n"/>
      <c r="N426" s="18" t="n"/>
      <c r="O426" s="18" t="n"/>
      <c r="P426" s="17" t="n"/>
      <c r="Q426" s="18">
        <f>IF(AND(I426="Won",P426&lt;&gt;"",N426&gt;=Settings!$B$7),MIN(N426*Settings!$B$2,Settings!$B$3),0)</f>
        <v/>
      </c>
      <c r="R426" s="18">
        <f>IF(AND(I426="Won",P426&lt;&gt;""),O426*Settings!$B$4,0)</f>
        <v/>
      </c>
      <c r="S426" s="17" t="n"/>
    </row>
    <row r="427">
      <c r="A427" s="16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6" t="n"/>
      <c r="K427" s="16">
        <f>IF(OR(J427="",I427="Won",I427="Lost",I427="Not a fit",L427="Yes"),"",J427+Settings!$B$8)</f>
        <v/>
      </c>
      <c r="L427" s="17" t="n"/>
      <c r="M427" s="17" t="n"/>
      <c r="N427" s="18" t="n"/>
      <c r="O427" s="18" t="n"/>
      <c r="P427" s="17" t="n"/>
      <c r="Q427" s="18">
        <f>IF(AND(I427="Won",P427&lt;&gt;"",N427&gt;=Settings!$B$7),MIN(N427*Settings!$B$2,Settings!$B$3),0)</f>
        <v/>
      </c>
      <c r="R427" s="18">
        <f>IF(AND(I427="Won",P427&lt;&gt;""),O427*Settings!$B$4,0)</f>
        <v/>
      </c>
      <c r="S427" s="17" t="n"/>
    </row>
    <row r="428">
      <c r="A428" s="16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6" t="n"/>
      <c r="K428" s="16">
        <f>IF(OR(J428="",I428="Won",I428="Lost",I428="Not a fit",L428="Yes"),"",J428+Settings!$B$8)</f>
        <v/>
      </c>
      <c r="L428" s="17" t="n"/>
      <c r="M428" s="17" t="n"/>
      <c r="N428" s="18" t="n"/>
      <c r="O428" s="18" t="n"/>
      <c r="P428" s="17" t="n"/>
      <c r="Q428" s="18">
        <f>IF(AND(I428="Won",P428&lt;&gt;"",N428&gt;=Settings!$B$7),MIN(N428*Settings!$B$2,Settings!$B$3),0)</f>
        <v/>
      </c>
      <c r="R428" s="18">
        <f>IF(AND(I428="Won",P428&lt;&gt;""),O428*Settings!$B$4,0)</f>
        <v/>
      </c>
      <c r="S428" s="17" t="n"/>
    </row>
    <row r="429">
      <c r="A429" s="16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6" t="n"/>
      <c r="K429" s="16">
        <f>IF(OR(J429="",I429="Won",I429="Lost",I429="Not a fit",L429="Yes"),"",J429+Settings!$B$8)</f>
        <v/>
      </c>
      <c r="L429" s="17" t="n"/>
      <c r="M429" s="17" t="n"/>
      <c r="N429" s="18" t="n"/>
      <c r="O429" s="18" t="n"/>
      <c r="P429" s="17" t="n"/>
      <c r="Q429" s="18">
        <f>IF(AND(I429="Won",P429&lt;&gt;"",N429&gt;=Settings!$B$7),MIN(N429*Settings!$B$2,Settings!$B$3),0)</f>
        <v/>
      </c>
      <c r="R429" s="18">
        <f>IF(AND(I429="Won",P429&lt;&gt;""),O429*Settings!$B$4,0)</f>
        <v/>
      </c>
      <c r="S429" s="17" t="n"/>
    </row>
    <row r="430">
      <c r="A430" s="16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6" t="n"/>
      <c r="K430" s="16">
        <f>IF(OR(J430="",I430="Won",I430="Lost",I430="Not a fit",L430="Yes"),"",J430+Settings!$B$8)</f>
        <v/>
      </c>
      <c r="L430" s="17" t="n"/>
      <c r="M430" s="17" t="n"/>
      <c r="N430" s="18" t="n"/>
      <c r="O430" s="18" t="n"/>
      <c r="P430" s="17" t="n"/>
      <c r="Q430" s="18">
        <f>IF(AND(I430="Won",P430&lt;&gt;"",N430&gt;=Settings!$B$7),MIN(N430*Settings!$B$2,Settings!$B$3),0)</f>
        <v/>
      </c>
      <c r="R430" s="18">
        <f>IF(AND(I430="Won",P430&lt;&gt;""),O430*Settings!$B$4,0)</f>
        <v/>
      </c>
      <c r="S430" s="17" t="n"/>
    </row>
    <row r="431">
      <c r="A431" s="16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6" t="n"/>
      <c r="K431" s="16">
        <f>IF(OR(J431="",I431="Won",I431="Lost",I431="Not a fit",L431="Yes"),"",J431+Settings!$B$8)</f>
        <v/>
      </c>
      <c r="L431" s="17" t="n"/>
      <c r="M431" s="17" t="n"/>
      <c r="N431" s="18" t="n"/>
      <c r="O431" s="18" t="n"/>
      <c r="P431" s="17" t="n"/>
      <c r="Q431" s="18">
        <f>IF(AND(I431="Won",P431&lt;&gt;"",N431&gt;=Settings!$B$7),MIN(N431*Settings!$B$2,Settings!$B$3),0)</f>
        <v/>
      </c>
      <c r="R431" s="18">
        <f>IF(AND(I431="Won",P431&lt;&gt;""),O431*Settings!$B$4,0)</f>
        <v/>
      </c>
      <c r="S431" s="17" t="n"/>
    </row>
    <row r="432">
      <c r="A432" s="16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6" t="n"/>
      <c r="K432" s="16">
        <f>IF(OR(J432="",I432="Won",I432="Lost",I432="Not a fit",L432="Yes"),"",J432+Settings!$B$8)</f>
        <v/>
      </c>
      <c r="L432" s="17" t="n"/>
      <c r="M432" s="17" t="n"/>
      <c r="N432" s="18" t="n"/>
      <c r="O432" s="18" t="n"/>
      <c r="P432" s="17" t="n"/>
      <c r="Q432" s="18">
        <f>IF(AND(I432="Won",P432&lt;&gt;"",N432&gt;=Settings!$B$7),MIN(N432*Settings!$B$2,Settings!$B$3),0)</f>
        <v/>
      </c>
      <c r="R432" s="18">
        <f>IF(AND(I432="Won",P432&lt;&gt;""),O432*Settings!$B$4,0)</f>
        <v/>
      </c>
      <c r="S432" s="17" t="n"/>
    </row>
    <row r="433">
      <c r="A433" s="16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6" t="n"/>
      <c r="K433" s="16">
        <f>IF(OR(J433="",I433="Won",I433="Lost",I433="Not a fit",L433="Yes"),"",J433+Settings!$B$8)</f>
        <v/>
      </c>
      <c r="L433" s="17" t="n"/>
      <c r="M433" s="17" t="n"/>
      <c r="N433" s="18" t="n"/>
      <c r="O433" s="18" t="n"/>
      <c r="P433" s="17" t="n"/>
      <c r="Q433" s="18">
        <f>IF(AND(I433="Won",P433&lt;&gt;"",N433&gt;=Settings!$B$7),MIN(N433*Settings!$B$2,Settings!$B$3),0)</f>
        <v/>
      </c>
      <c r="R433" s="18">
        <f>IF(AND(I433="Won",P433&lt;&gt;""),O433*Settings!$B$4,0)</f>
        <v/>
      </c>
      <c r="S433" s="17" t="n"/>
    </row>
    <row r="434">
      <c r="A434" s="16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6" t="n"/>
      <c r="K434" s="16">
        <f>IF(OR(J434="",I434="Won",I434="Lost",I434="Not a fit",L434="Yes"),"",J434+Settings!$B$8)</f>
        <v/>
      </c>
      <c r="L434" s="17" t="n"/>
      <c r="M434" s="17" t="n"/>
      <c r="N434" s="18" t="n"/>
      <c r="O434" s="18" t="n"/>
      <c r="P434" s="17" t="n"/>
      <c r="Q434" s="18">
        <f>IF(AND(I434="Won",P434&lt;&gt;"",N434&gt;=Settings!$B$7),MIN(N434*Settings!$B$2,Settings!$B$3),0)</f>
        <v/>
      </c>
      <c r="R434" s="18">
        <f>IF(AND(I434="Won",P434&lt;&gt;""),O434*Settings!$B$4,0)</f>
        <v/>
      </c>
      <c r="S434" s="17" t="n"/>
    </row>
    <row r="435">
      <c r="A435" s="16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6" t="n"/>
      <c r="K435" s="16">
        <f>IF(OR(J435="",I435="Won",I435="Lost",I435="Not a fit",L435="Yes"),"",J435+Settings!$B$8)</f>
        <v/>
      </c>
      <c r="L435" s="17" t="n"/>
      <c r="M435" s="17" t="n"/>
      <c r="N435" s="18" t="n"/>
      <c r="O435" s="18" t="n"/>
      <c r="P435" s="17" t="n"/>
      <c r="Q435" s="18">
        <f>IF(AND(I435="Won",P435&lt;&gt;"",N435&gt;=Settings!$B$7),MIN(N435*Settings!$B$2,Settings!$B$3),0)</f>
        <v/>
      </c>
      <c r="R435" s="18">
        <f>IF(AND(I435="Won",P435&lt;&gt;""),O435*Settings!$B$4,0)</f>
        <v/>
      </c>
      <c r="S435" s="17" t="n"/>
    </row>
    <row r="436">
      <c r="A436" s="16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6" t="n"/>
      <c r="K436" s="16">
        <f>IF(OR(J436="",I436="Won",I436="Lost",I436="Not a fit",L436="Yes"),"",J436+Settings!$B$8)</f>
        <v/>
      </c>
      <c r="L436" s="17" t="n"/>
      <c r="M436" s="17" t="n"/>
      <c r="N436" s="18" t="n"/>
      <c r="O436" s="18" t="n"/>
      <c r="P436" s="17" t="n"/>
      <c r="Q436" s="18">
        <f>IF(AND(I436="Won",P436&lt;&gt;"",N436&gt;=Settings!$B$7),MIN(N436*Settings!$B$2,Settings!$B$3),0)</f>
        <v/>
      </c>
      <c r="R436" s="18">
        <f>IF(AND(I436="Won",P436&lt;&gt;""),O436*Settings!$B$4,0)</f>
        <v/>
      </c>
      <c r="S436" s="17" t="n"/>
    </row>
    <row r="437">
      <c r="A437" s="16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6" t="n"/>
      <c r="K437" s="16">
        <f>IF(OR(J437="",I437="Won",I437="Lost",I437="Not a fit",L437="Yes"),"",J437+Settings!$B$8)</f>
        <v/>
      </c>
      <c r="L437" s="17" t="n"/>
      <c r="M437" s="17" t="n"/>
      <c r="N437" s="18" t="n"/>
      <c r="O437" s="18" t="n"/>
      <c r="P437" s="17" t="n"/>
      <c r="Q437" s="18">
        <f>IF(AND(I437="Won",P437&lt;&gt;"",N437&gt;=Settings!$B$7),MIN(N437*Settings!$B$2,Settings!$B$3),0)</f>
        <v/>
      </c>
      <c r="R437" s="18">
        <f>IF(AND(I437="Won",P437&lt;&gt;""),O437*Settings!$B$4,0)</f>
        <v/>
      </c>
      <c r="S437" s="17" t="n"/>
    </row>
    <row r="438">
      <c r="A438" s="16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6" t="n"/>
      <c r="K438" s="16">
        <f>IF(OR(J438="",I438="Won",I438="Lost",I438="Not a fit",L438="Yes"),"",J438+Settings!$B$8)</f>
        <v/>
      </c>
      <c r="L438" s="17" t="n"/>
      <c r="M438" s="17" t="n"/>
      <c r="N438" s="18" t="n"/>
      <c r="O438" s="18" t="n"/>
      <c r="P438" s="17" t="n"/>
      <c r="Q438" s="18">
        <f>IF(AND(I438="Won",P438&lt;&gt;"",N438&gt;=Settings!$B$7),MIN(N438*Settings!$B$2,Settings!$B$3),0)</f>
        <v/>
      </c>
      <c r="R438" s="18">
        <f>IF(AND(I438="Won",P438&lt;&gt;""),O438*Settings!$B$4,0)</f>
        <v/>
      </c>
      <c r="S438" s="17" t="n"/>
    </row>
    <row r="439">
      <c r="A439" s="16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6" t="n"/>
      <c r="K439" s="16">
        <f>IF(OR(J439="",I439="Won",I439="Lost",I439="Not a fit",L439="Yes"),"",J439+Settings!$B$8)</f>
        <v/>
      </c>
      <c r="L439" s="17" t="n"/>
      <c r="M439" s="17" t="n"/>
      <c r="N439" s="18" t="n"/>
      <c r="O439" s="18" t="n"/>
      <c r="P439" s="17" t="n"/>
      <c r="Q439" s="18">
        <f>IF(AND(I439="Won",P439&lt;&gt;"",N439&gt;=Settings!$B$7),MIN(N439*Settings!$B$2,Settings!$B$3),0)</f>
        <v/>
      </c>
      <c r="R439" s="18">
        <f>IF(AND(I439="Won",P439&lt;&gt;""),O439*Settings!$B$4,0)</f>
        <v/>
      </c>
      <c r="S439" s="17" t="n"/>
    </row>
    <row r="440">
      <c r="A440" s="16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6" t="n"/>
      <c r="K440" s="16">
        <f>IF(OR(J440="",I440="Won",I440="Lost",I440="Not a fit",L440="Yes"),"",J440+Settings!$B$8)</f>
        <v/>
      </c>
      <c r="L440" s="17" t="n"/>
      <c r="M440" s="17" t="n"/>
      <c r="N440" s="18" t="n"/>
      <c r="O440" s="18" t="n"/>
      <c r="P440" s="17" t="n"/>
      <c r="Q440" s="18">
        <f>IF(AND(I440="Won",P440&lt;&gt;"",N440&gt;=Settings!$B$7),MIN(N440*Settings!$B$2,Settings!$B$3),0)</f>
        <v/>
      </c>
      <c r="R440" s="18">
        <f>IF(AND(I440="Won",P440&lt;&gt;""),O440*Settings!$B$4,0)</f>
        <v/>
      </c>
      <c r="S440" s="17" t="n"/>
    </row>
    <row r="441">
      <c r="A441" s="16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6" t="n"/>
      <c r="K441" s="16">
        <f>IF(OR(J441="",I441="Won",I441="Lost",I441="Not a fit",L441="Yes"),"",J441+Settings!$B$8)</f>
        <v/>
      </c>
      <c r="L441" s="17" t="n"/>
      <c r="M441" s="17" t="n"/>
      <c r="N441" s="18" t="n"/>
      <c r="O441" s="18" t="n"/>
      <c r="P441" s="17" t="n"/>
      <c r="Q441" s="18">
        <f>IF(AND(I441="Won",P441&lt;&gt;"",N441&gt;=Settings!$B$7),MIN(N441*Settings!$B$2,Settings!$B$3),0)</f>
        <v/>
      </c>
      <c r="R441" s="18">
        <f>IF(AND(I441="Won",P441&lt;&gt;""),O441*Settings!$B$4,0)</f>
        <v/>
      </c>
      <c r="S441" s="17" t="n"/>
    </row>
    <row r="442">
      <c r="A442" s="16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6" t="n"/>
      <c r="K442" s="16">
        <f>IF(OR(J442="",I442="Won",I442="Lost",I442="Not a fit",L442="Yes"),"",J442+Settings!$B$8)</f>
        <v/>
      </c>
      <c r="L442" s="17" t="n"/>
      <c r="M442" s="17" t="n"/>
      <c r="N442" s="18" t="n"/>
      <c r="O442" s="18" t="n"/>
      <c r="P442" s="17" t="n"/>
      <c r="Q442" s="18">
        <f>IF(AND(I442="Won",P442&lt;&gt;"",N442&gt;=Settings!$B$7),MIN(N442*Settings!$B$2,Settings!$B$3),0)</f>
        <v/>
      </c>
      <c r="R442" s="18">
        <f>IF(AND(I442="Won",P442&lt;&gt;""),O442*Settings!$B$4,0)</f>
        <v/>
      </c>
      <c r="S442" s="17" t="n"/>
    </row>
    <row r="443">
      <c r="A443" s="16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6" t="n"/>
      <c r="K443" s="16">
        <f>IF(OR(J443="",I443="Won",I443="Lost",I443="Not a fit",L443="Yes"),"",J443+Settings!$B$8)</f>
        <v/>
      </c>
      <c r="L443" s="17" t="n"/>
      <c r="M443" s="17" t="n"/>
      <c r="N443" s="18" t="n"/>
      <c r="O443" s="18" t="n"/>
      <c r="P443" s="17" t="n"/>
      <c r="Q443" s="18">
        <f>IF(AND(I443="Won",P443&lt;&gt;"",N443&gt;=Settings!$B$7),MIN(N443*Settings!$B$2,Settings!$B$3),0)</f>
        <v/>
      </c>
      <c r="R443" s="18">
        <f>IF(AND(I443="Won",P443&lt;&gt;""),O443*Settings!$B$4,0)</f>
        <v/>
      </c>
      <c r="S443" s="17" t="n"/>
    </row>
    <row r="444">
      <c r="A444" s="16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6" t="n"/>
      <c r="K444" s="16">
        <f>IF(OR(J444="",I444="Won",I444="Lost",I444="Not a fit",L444="Yes"),"",J444+Settings!$B$8)</f>
        <v/>
      </c>
      <c r="L444" s="17" t="n"/>
      <c r="M444" s="17" t="n"/>
      <c r="N444" s="18" t="n"/>
      <c r="O444" s="18" t="n"/>
      <c r="P444" s="17" t="n"/>
      <c r="Q444" s="18">
        <f>IF(AND(I444="Won",P444&lt;&gt;"",N444&gt;=Settings!$B$7),MIN(N444*Settings!$B$2,Settings!$B$3),0)</f>
        <v/>
      </c>
      <c r="R444" s="18">
        <f>IF(AND(I444="Won",P444&lt;&gt;""),O444*Settings!$B$4,0)</f>
        <v/>
      </c>
      <c r="S444" s="17" t="n"/>
    </row>
    <row r="445">
      <c r="A445" s="16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6" t="n"/>
      <c r="K445" s="16">
        <f>IF(OR(J445="",I445="Won",I445="Lost",I445="Not a fit",L445="Yes"),"",J445+Settings!$B$8)</f>
        <v/>
      </c>
      <c r="L445" s="17" t="n"/>
      <c r="M445" s="17" t="n"/>
      <c r="N445" s="18" t="n"/>
      <c r="O445" s="18" t="n"/>
      <c r="P445" s="17" t="n"/>
      <c r="Q445" s="18">
        <f>IF(AND(I445="Won",P445&lt;&gt;"",N445&gt;=Settings!$B$7),MIN(N445*Settings!$B$2,Settings!$B$3),0)</f>
        <v/>
      </c>
      <c r="R445" s="18">
        <f>IF(AND(I445="Won",P445&lt;&gt;""),O445*Settings!$B$4,0)</f>
        <v/>
      </c>
      <c r="S445" s="17" t="n"/>
    </row>
    <row r="446">
      <c r="A446" s="16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6" t="n"/>
      <c r="K446" s="16">
        <f>IF(OR(J446="",I446="Won",I446="Lost",I446="Not a fit",L446="Yes"),"",J446+Settings!$B$8)</f>
        <v/>
      </c>
      <c r="L446" s="17" t="n"/>
      <c r="M446" s="17" t="n"/>
      <c r="N446" s="18" t="n"/>
      <c r="O446" s="18" t="n"/>
      <c r="P446" s="17" t="n"/>
      <c r="Q446" s="18">
        <f>IF(AND(I446="Won",P446&lt;&gt;"",N446&gt;=Settings!$B$7),MIN(N446*Settings!$B$2,Settings!$B$3),0)</f>
        <v/>
      </c>
      <c r="R446" s="18">
        <f>IF(AND(I446="Won",P446&lt;&gt;""),O446*Settings!$B$4,0)</f>
        <v/>
      </c>
      <c r="S446" s="17" t="n"/>
    </row>
    <row r="447">
      <c r="A447" s="16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6" t="n"/>
      <c r="K447" s="16">
        <f>IF(OR(J447="",I447="Won",I447="Lost",I447="Not a fit",L447="Yes"),"",J447+Settings!$B$8)</f>
        <v/>
      </c>
      <c r="L447" s="17" t="n"/>
      <c r="M447" s="17" t="n"/>
      <c r="N447" s="18" t="n"/>
      <c r="O447" s="18" t="n"/>
      <c r="P447" s="17" t="n"/>
      <c r="Q447" s="18">
        <f>IF(AND(I447="Won",P447&lt;&gt;"",N447&gt;=Settings!$B$7),MIN(N447*Settings!$B$2,Settings!$B$3),0)</f>
        <v/>
      </c>
      <c r="R447" s="18">
        <f>IF(AND(I447="Won",P447&lt;&gt;""),O447*Settings!$B$4,0)</f>
        <v/>
      </c>
      <c r="S447" s="17" t="n"/>
    </row>
    <row r="448">
      <c r="A448" s="16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6" t="n"/>
      <c r="K448" s="16">
        <f>IF(OR(J448="",I448="Won",I448="Lost",I448="Not a fit",L448="Yes"),"",J448+Settings!$B$8)</f>
        <v/>
      </c>
      <c r="L448" s="17" t="n"/>
      <c r="M448" s="17" t="n"/>
      <c r="N448" s="18" t="n"/>
      <c r="O448" s="18" t="n"/>
      <c r="P448" s="17" t="n"/>
      <c r="Q448" s="18">
        <f>IF(AND(I448="Won",P448&lt;&gt;"",N448&gt;=Settings!$B$7),MIN(N448*Settings!$B$2,Settings!$B$3),0)</f>
        <v/>
      </c>
      <c r="R448" s="18">
        <f>IF(AND(I448="Won",P448&lt;&gt;""),O448*Settings!$B$4,0)</f>
        <v/>
      </c>
      <c r="S448" s="17" t="n"/>
    </row>
    <row r="449">
      <c r="A449" s="16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6" t="n"/>
      <c r="K449" s="16">
        <f>IF(OR(J449="",I449="Won",I449="Lost",I449="Not a fit",L449="Yes"),"",J449+Settings!$B$8)</f>
        <v/>
      </c>
      <c r="L449" s="17" t="n"/>
      <c r="M449" s="17" t="n"/>
      <c r="N449" s="18" t="n"/>
      <c r="O449" s="18" t="n"/>
      <c r="P449" s="17" t="n"/>
      <c r="Q449" s="18">
        <f>IF(AND(I449="Won",P449&lt;&gt;"",N449&gt;=Settings!$B$7),MIN(N449*Settings!$B$2,Settings!$B$3),0)</f>
        <v/>
      </c>
      <c r="R449" s="18">
        <f>IF(AND(I449="Won",P449&lt;&gt;""),O449*Settings!$B$4,0)</f>
        <v/>
      </c>
      <c r="S449" s="17" t="n"/>
    </row>
    <row r="450">
      <c r="A450" s="16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6" t="n"/>
      <c r="K450" s="16">
        <f>IF(OR(J450="",I450="Won",I450="Lost",I450="Not a fit",L450="Yes"),"",J450+Settings!$B$8)</f>
        <v/>
      </c>
      <c r="L450" s="17" t="n"/>
      <c r="M450" s="17" t="n"/>
      <c r="N450" s="18" t="n"/>
      <c r="O450" s="18" t="n"/>
      <c r="P450" s="17" t="n"/>
      <c r="Q450" s="18">
        <f>IF(AND(I450="Won",P450&lt;&gt;"",N450&gt;=Settings!$B$7),MIN(N450*Settings!$B$2,Settings!$B$3),0)</f>
        <v/>
      </c>
      <c r="R450" s="18">
        <f>IF(AND(I450="Won",P450&lt;&gt;""),O450*Settings!$B$4,0)</f>
        <v/>
      </c>
      <c r="S450" s="17" t="n"/>
    </row>
    <row r="451">
      <c r="A451" s="16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6" t="n"/>
      <c r="K451" s="16">
        <f>IF(OR(J451="",I451="Won",I451="Lost",I451="Not a fit",L451="Yes"),"",J451+Settings!$B$8)</f>
        <v/>
      </c>
      <c r="L451" s="17" t="n"/>
      <c r="M451" s="17" t="n"/>
      <c r="N451" s="18" t="n"/>
      <c r="O451" s="18" t="n"/>
      <c r="P451" s="17" t="n"/>
      <c r="Q451" s="18">
        <f>IF(AND(I451="Won",P451&lt;&gt;"",N451&gt;=Settings!$B$7),MIN(N451*Settings!$B$2,Settings!$B$3),0)</f>
        <v/>
      </c>
      <c r="R451" s="18">
        <f>IF(AND(I451="Won",P451&lt;&gt;""),O451*Settings!$B$4,0)</f>
        <v/>
      </c>
      <c r="S451" s="17" t="n"/>
    </row>
    <row r="452">
      <c r="A452" s="16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6" t="n"/>
      <c r="K452" s="16">
        <f>IF(OR(J452="",I452="Won",I452="Lost",I452="Not a fit",L452="Yes"),"",J452+Settings!$B$8)</f>
        <v/>
      </c>
      <c r="L452" s="17" t="n"/>
      <c r="M452" s="17" t="n"/>
      <c r="N452" s="18" t="n"/>
      <c r="O452" s="18" t="n"/>
      <c r="P452" s="17" t="n"/>
      <c r="Q452" s="18">
        <f>IF(AND(I452="Won",P452&lt;&gt;"",N452&gt;=Settings!$B$7),MIN(N452*Settings!$B$2,Settings!$B$3),0)</f>
        <v/>
      </c>
      <c r="R452" s="18">
        <f>IF(AND(I452="Won",P452&lt;&gt;""),O452*Settings!$B$4,0)</f>
        <v/>
      </c>
      <c r="S452" s="17" t="n"/>
    </row>
    <row r="453">
      <c r="A453" s="16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6" t="n"/>
      <c r="K453" s="16">
        <f>IF(OR(J453="",I453="Won",I453="Lost",I453="Not a fit",L453="Yes"),"",J453+Settings!$B$8)</f>
        <v/>
      </c>
      <c r="L453" s="17" t="n"/>
      <c r="M453" s="17" t="n"/>
      <c r="N453" s="18" t="n"/>
      <c r="O453" s="18" t="n"/>
      <c r="P453" s="17" t="n"/>
      <c r="Q453" s="18">
        <f>IF(AND(I453="Won",P453&lt;&gt;"",N453&gt;=Settings!$B$7),MIN(N453*Settings!$B$2,Settings!$B$3),0)</f>
        <v/>
      </c>
      <c r="R453" s="18">
        <f>IF(AND(I453="Won",P453&lt;&gt;""),O453*Settings!$B$4,0)</f>
        <v/>
      </c>
      <c r="S453" s="17" t="n"/>
    </row>
    <row r="454">
      <c r="A454" s="16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6" t="n"/>
      <c r="K454" s="16">
        <f>IF(OR(J454="",I454="Won",I454="Lost",I454="Not a fit",L454="Yes"),"",J454+Settings!$B$8)</f>
        <v/>
      </c>
      <c r="L454" s="17" t="n"/>
      <c r="M454" s="17" t="n"/>
      <c r="N454" s="18" t="n"/>
      <c r="O454" s="18" t="n"/>
      <c r="P454" s="17" t="n"/>
      <c r="Q454" s="18">
        <f>IF(AND(I454="Won",P454&lt;&gt;"",N454&gt;=Settings!$B$7),MIN(N454*Settings!$B$2,Settings!$B$3),0)</f>
        <v/>
      </c>
      <c r="R454" s="18">
        <f>IF(AND(I454="Won",P454&lt;&gt;""),O454*Settings!$B$4,0)</f>
        <v/>
      </c>
      <c r="S454" s="17" t="n"/>
    </row>
    <row r="455">
      <c r="A455" s="16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6" t="n"/>
      <c r="K455" s="16">
        <f>IF(OR(J455="",I455="Won",I455="Lost",I455="Not a fit",L455="Yes"),"",J455+Settings!$B$8)</f>
        <v/>
      </c>
      <c r="L455" s="17" t="n"/>
      <c r="M455" s="17" t="n"/>
      <c r="N455" s="18" t="n"/>
      <c r="O455" s="18" t="n"/>
      <c r="P455" s="17" t="n"/>
      <c r="Q455" s="18">
        <f>IF(AND(I455="Won",P455&lt;&gt;"",N455&gt;=Settings!$B$7),MIN(N455*Settings!$B$2,Settings!$B$3),0)</f>
        <v/>
      </c>
      <c r="R455" s="18">
        <f>IF(AND(I455="Won",P455&lt;&gt;""),O455*Settings!$B$4,0)</f>
        <v/>
      </c>
      <c r="S455" s="17" t="n"/>
    </row>
    <row r="456">
      <c r="A456" s="16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6" t="n"/>
      <c r="K456" s="16">
        <f>IF(OR(J456="",I456="Won",I456="Lost",I456="Not a fit",L456="Yes"),"",J456+Settings!$B$8)</f>
        <v/>
      </c>
      <c r="L456" s="17" t="n"/>
      <c r="M456" s="17" t="n"/>
      <c r="N456" s="18" t="n"/>
      <c r="O456" s="18" t="n"/>
      <c r="P456" s="17" t="n"/>
      <c r="Q456" s="18">
        <f>IF(AND(I456="Won",P456&lt;&gt;"",N456&gt;=Settings!$B$7),MIN(N456*Settings!$B$2,Settings!$B$3),0)</f>
        <v/>
      </c>
      <c r="R456" s="18">
        <f>IF(AND(I456="Won",P456&lt;&gt;""),O456*Settings!$B$4,0)</f>
        <v/>
      </c>
      <c r="S456" s="17" t="n"/>
    </row>
    <row r="457">
      <c r="A457" s="16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6" t="n"/>
      <c r="K457" s="16">
        <f>IF(OR(J457="",I457="Won",I457="Lost",I457="Not a fit",L457="Yes"),"",J457+Settings!$B$8)</f>
        <v/>
      </c>
      <c r="L457" s="17" t="n"/>
      <c r="M457" s="17" t="n"/>
      <c r="N457" s="18" t="n"/>
      <c r="O457" s="18" t="n"/>
      <c r="P457" s="17" t="n"/>
      <c r="Q457" s="18">
        <f>IF(AND(I457="Won",P457&lt;&gt;"",N457&gt;=Settings!$B$7),MIN(N457*Settings!$B$2,Settings!$B$3),0)</f>
        <v/>
      </c>
      <c r="R457" s="18">
        <f>IF(AND(I457="Won",P457&lt;&gt;""),O457*Settings!$B$4,0)</f>
        <v/>
      </c>
      <c r="S457" s="17" t="n"/>
    </row>
    <row r="458">
      <c r="A458" s="16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6" t="n"/>
      <c r="K458" s="16">
        <f>IF(OR(J458="",I458="Won",I458="Lost",I458="Not a fit",L458="Yes"),"",J458+Settings!$B$8)</f>
        <v/>
      </c>
      <c r="L458" s="17" t="n"/>
      <c r="M458" s="17" t="n"/>
      <c r="N458" s="18" t="n"/>
      <c r="O458" s="18" t="n"/>
      <c r="P458" s="17" t="n"/>
      <c r="Q458" s="18">
        <f>IF(AND(I458="Won",P458&lt;&gt;"",N458&gt;=Settings!$B$7),MIN(N458*Settings!$B$2,Settings!$B$3),0)</f>
        <v/>
      </c>
      <c r="R458" s="18">
        <f>IF(AND(I458="Won",P458&lt;&gt;""),O458*Settings!$B$4,0)</f>
        <v/>
      </c>
      <c r="S458" s="17" t="n"/>
    </row>
    <row r="459">
      <c r="A459" s="16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6" t="n"/>
      <c r="K459" s="16">
        <f>IF(OR(J459="",I459="Won",I459="Lost",I459="Not a fit",L459="Yes"),"",J459+Settings!$B$8)</f>
        <v/>
      </c>
      <c r="L459" s="17" t="n"/>
      <c r="M459" s="17" t="n"/>
      <c r="N459" s="18" t="n"/>
      <c r="O459" s="18" t="n"/>
      <c r="P459" s="17" t="n"/>
      <c r="Q459" s="18">
        <f>IF(AND(I459="Won",P459&lt;&gt;"",N459&gt;=Settings!$B$7),MIN(N459*Settings!$B$2,Settings!$B$3),0)</f>
        <v/>
      </c>
      <c r="R459" s="18">
        <f>IF(AND(I459="Won",P459&lt;&gt;""),O459*Settings!$B$4,0)</f>
        <v/>
      </c>
      <c r="S459" s="17" t="n"/>
    </row>
    <row r="460">
      <c r="A460" s="16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6" t="n"/>
      <c r="K460" s="16">
        <f>IF(OR(J460="",I460="Won",I460="Lost",I460="Not a fit",L460="Yes"),"",J460+Settings!$B$8)</f>
        <v/>
      </c>
      <c r="L460" s="17" t="n"/>
      <c r="M460" s="17" t="n"/>
      <c r="N460" s="18" t="n"/>
      <c r="O460" s="18" t="n"/>
      <c r="P460" s="17" t="n"/>
      <c r="Q460" s="18">
        <f>IF(AND(I460="Won",P460&lt;&gt;"",N460&gt;=Settings!$B$7),MIN(N460*Settings!$B$2,Settings!$B$3),0)</f>
        <v/>
      </c>
      <c r="R460" s="18">
        <f>IF(AND(I460="Won",P460&lt;&gt;""),O460*Settings!$B$4,0)</f>
        <v/>
      </c>
      <c r="S460" s="17" t="n"/>
    </row>
    <row r="461">
      <c r="A461" s="16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6" t="n"/>
      <c r="K461" s="16">
        <f>IF(OR(J461="",I461="Won",I461="Lost",I461="Not a fit",L461="Yes"),"",J461+Settings!$B$8)</f>
        <v/>
      </c>
      <c r="L461" s="17" t="n"/>
      <c r="M461" s="17" t="n"/>
      <c r="N461" s="18" t="n"/>
      <c r="O461" s="18" t="n"/>
      <c r="P461" s="17" t="n"/>
      <c r="Q461" s="18">
        <f>IF(AND(I461="Won",P461&lt;&gt;"",N461&gt;=Settings!$B$7),MIN(N461*Settings!$B$2,Settings!$B$3),0)</f>
        <v/>
      </c>
      <c r="R461" s="18">
        <f>IF(AND(I461="Won",P461&lt;&gt;""),O461*Settings!$B$4,0)</f>
        <v/>
      </c>
      <c r="S461" s="17" t="n"/>
    </row>
    <row r="462">
      <c r="A462" s="16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6" t="n"/>
      <c r="K462" s="16">
        <f>IF(OR(J462="",I462="Won",I462="Lost",I462="Not a fit",L462="Yes"),"",J462+Settings!$B$8)</f>
        <v/>
      </c>
      <c r="L462" s="17" t="n"/>
      <c r="M462" s="17" t="n"/>
      <c r="N462" s="18" t="n"/>
      <c r="O462" s="18" t="n"/>
      <c r="P462" s="17" t="n"/>
      <c r="Q462" s="18">
        <f>IF(AND(I462="Won",P462&lt;&gt;"",N462&gt;=Settings!$B$7),MIN(N462*Settings!$B$2,Settings!$B$3),0)</f>
        <v/>
      </c>
      <c r="R462" s="18">
        <f>IF(AND(I462="Won",P462&lt;&gt;""),O462*Settings!$B$4,0)</f>
        <v/>
      </c>
      <c r="S462" s="17" t="n"/>
    </row>
    <row r="463">
      <c r="A463" s="16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6" t="n"/>
      <c r="K463" s="16">
        <f>IF(OR(J463="",I463="Won",I463="Lost",I463="Not a fit",L463="Yes"),"",J463+Settings!$B$8)</f>
        <v/>
      </c>
      <c r="L463" s="17" t="n"/>
      <c r="M463" s="17" t="n"/>
      <c r="N463" s="18" t="n"/>
      <c r="O463" s="18" t="n"/>
      <c r="P463" s="17" t="n"/>
      <c r="Q463" s="18">
        <f>IF(AND(I463="Won",P463&lt;&gt;"",N463&gt;=Settings!$B$7),MIN(N463*Settings!$B$2,Settings!$B$3),0)</f>
        <v/>
      </c>
      <c r="R463" s="18">
        <f>IF(AND(I463="Won",P463&lt;&gt;""),O463*Settings!$B$4,0)</f>
        <v/>
      </c>
      <c r="S463" s="17" t="n"/>
    </row>
    <row r="464">
      <c r="A464" s="16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6" t="n"/>
      <c r="K464" s="16">
        <f>IF(OR(J464="",I464="Won",I464="Lost",I464="Not a fit",L464="Yes"),"",J464+Settings!$B$8)</f>
        <v/>
      </c>
      <c r="L464" s="17" t="n"/>
      <c r="M464" s="17" t="n"/>
      <c r="N464" s="18" t="n"/>
      <c r="O464" s="18" t="n"/>
      <c r="P464" s="17" t="n"/>
      <c r="Q464" s="18">
        <f>IF(AND(I464="Won",P464&lt;&gt;"",N464&gt;=Settings!$B$7),MIN(N464*Settings!$B$2,Settings!$B$3),0)</f>
        <v/>
      </c>
      <c r="R464" s="18">
        <f>IF(AND(I464="Won",P464&lt;&gt;""),O464*Settings!$B$4,0)</f>
        <v/>
      </c>
      <c r="S464" s="17" t="n"/>
    </row>
    <row r="465">
      <c r="A465" s="16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6" t="n"/>
      <c r="K465" s="16">
        <f>IF(OR(J465="",I465="Won",I465="Lost",I465="Not a fit",L465="Yes"),"",J465+Settings!$B$8)</f>
        <v/>
      </c>
      <c r="L465" s="17" t="n"/>
      <c r="M465" s="17" t="n"/>
      <c r="N465" s="18" t="n"/>
      <c r="O465" s="18" t="n"/>
      <c r="P465" s="17" t="n"/>
      <c r="Q465" s="18">
        <f>IF(AND(I465="Won",P465&lt;&gt;"",N465&gt;=Settings!$B$7),MIN(N465*Settings!$B$2,Settings!$B$3),0)</f>
        <v/>
      </c>
      <c r="R465" s="18">
        <f>IF(AND(I465="Won",P465&lt;&gt;""),O465*Settings!$B$4,0)</f>
        <v/>
      </c>
      <c r="S465" s="17" t="n"/>
    </row>
    <row r="466">
      <c r="A466" s="16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6" t="n"/>
      <c r="K466" s="16">
        <f>IF(OR(J466="",I466="Won",I466="Lost",I466="Not a fit",L466="Yes"),"",J466+Settings!$B$8)</f>
        <v/>
      </c>
      <c r="L466" s="17" t="n"/>
      <c r="M466" s="17" t="n"/>
      <c r="N466" s="18" t="n"/>
      <c r="O466" s="18" t="n"/>
      <c r="P466" s="17" t="n"/>
      <c r="Q466" s="18">
        <f>IF(AND(I466="Won",P466&lt;&gt;"",N466&gt;=Settings!$B$7),MIN(N466*Settings!$B$2,Settings!$B$3),0)</f>
        <v/>
      </c>
      <c r="R466" s="18">
        <f>IF(AND(I466="Won",P466&lt;&gt;""),O466*Settings!$B$4,0)</f>
        <v/>
      </c>
      <c r="S466" s="17" t="n"/>
    </row>
    <row r="467">
      <c r="A467" s="16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6" t="n"/>
      <c r="K467" s="16">
        <f>IF(OR(J467="",I467="Won",I467="Lost",I467="Not a fit",L467="Yes"),"",J467+Settings!$B$8)</f>
        <v/>
      </c>
      <c r="L467" s="17" t="n"/>
      <c r="M467" s="17" t="n"/>
      <c r="N467" s="18" t="n"/>
      <c r="O467" s="18" t="n"/>
      <c r="P467" s="17" t="n"/>
      <c r="Q467" s="18">
        <f>IF(AND(I467="Won",P467&lt;&gt;"",N467&gt;=Settings!$B$7),MIN(N467*Settings!$B$2,Settings!$B$3),0)</f>
        <v/>
      </c>
      <c r="R467" s="18">
        <f>IF(AND(I467="Won",P467&lt;&gt;""),O467*Settings!$B$4,0)</f>
        <v/>
      </c>
      <c r="S467" s="17" t="n"/>
    </row>
    <row r="468">
      <c r="A468" s="16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6" t="n"/>
      <c r="K468" s="16">
        <f>IF(OR(J468="",I468="Won",I468="Lost",I468="Not a fit",L468="Yes"),"",J468+Settings!$B$8)</f>
        <v/>
      </c>
      <c r="L468" s="17" t="n"/>
      <c r="M468" s="17" t="n"/>
      <c r="N468" s="18" t="n"/>
      <c r="O468" s="18" t="n"/>
      <c r="P468" s="17" t="n"/>
      <c r="Q468" s="18">
        <f>IF(AND(I468="Won",P468&lt;&gt;"",N468&gt;=Settings!$B$7),MIN(N468*Settings!$B$2,Settings!$B$3),0)</f>
        <v/>
      </c>
      <c r="R468" s="18">
        <f>IF(AND(I468="Won",P468&lt;&gt;""),O468*Settings!$B$4,0)</f>
        <v/>
      </c>
      <c r="S468" s="17" t="n"/>
    </row>
    <row r="469">
      <c r="A469" s="16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6" t="n"/>
      <c r="K469" s="16">
        <f>IF(OR(J469="",I469="Won",I469="Lost",I469="Not a fit",L469="Yes"),"",J469+Settings!$B$8)</f>
        <v/>
      </c>
      <c r="L469" s="17" t="n"/>
      <c r="M469" s="17" t="n"/>
      <c r="N469" s="18" t="n"/>
      <c r="O469" s="18" t="n"/>
      <c r="P469" s="17" t="n"/>
      <c r="Q469" s="18">
        <f>IF(AND(I469="Won",P469&lt;&gt;"",N469&gt;=Settings!$B$7),MIN(N469*Settings!$B$2,Settings!$B$3),0)</f>
        <v/>
      </c>
      <c r="R469" s="18">
        <f>IF(AND(I469="Won",P469&lt;&gt;""),O469*Settings!$B$4,0)</f>
        <v/>
      </c>
      <c r="S469" s="17" t="n"/>
    </row>
    <row r="470">
      <c r="A470" s="16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6" t="n"/>
      <c r="K470" s="16">
        <f>IF(OR(J470="",I470="Won",I470="Lost",I470="Not a fit",L470="Yes"),"",J470+Settings!$B$8)</f>
        <v/>
      </c>
      <c r="L470" s="17" t="n"/>
      <c r="M470" s="17" t="n"/>
      <c r="N470" s="18" t="n"/>
      <c r="O470" s="18" t="n"/>
      <c r="P470" s="17" t="n"/>
      <c r="Q470" s="18">
        <f>IF(AND(I470="Won",P470&lt;&gt;"",N470&gt;=Settings!$B$7),MIN(N470*Settings!$B$2,Settings!$B$3),0)</f>
        <v/>
      </c>
      <c r="R470" s="18">
        <f>IF(AND(I470="Won",P470&lt;&gt;""),O470*Settings!$B$4,0)</f>
        <v/>
      </c>
      <c r="S470" s="17" t="n"/>
    </row>
    <row r="471">
      <c r="A471" s="16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6" t="n"/>
      <c r="K471" s="16">
        <f>IF(OR(J471="",I471="Won",I471="Lost",I471="Not a fit",L471="Yes"),"",J471+Settings!$B$8)</f>
        <v/>
      </c>
      <c r="L471" s="17" t="n"/>
      <c r="M471" s="17" t="n"/>
      <c r="N471" s="18" t="n"/>
      <c r="O471" s="18" t="n"/>
      <c r="P471" s="17" t="n"/>
      <c r="Q471" s="18">
        <f>IF(AND(I471="Won",P471&lt;&gt;"",N471&gt;=Settings!$B$7),MIN(N471*Settings!$B$2,Settings!$B$3),0)</f>
        <v/>
      </c>
      <c r="R471" s="18">
        <f>IF(AND(I471="Won",P471&lt;&gt;""),O471*Settings!$B$4,0)</f>
        <v/>
      </c>
      <c r="S471" s="17" t="n"/>
    </row>
    <row r="472">
      <c r="A472" s="16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6" t="n"/>
      <c r="K472" s="16">
        <f>IF(OR(J472="",I472="Won",I472="Lost",I472="Not a fit",L472="Yes"),"",J472+Settings!$B$8)</f>
        <v/>
      </c>
      <c r="L472" s="17" t="n"/>
      <c r="M472" s="17" t="n"/>
      <c r="N472" s="18" t="n"/>
      <c r="O472" s="18" t="n"/>
      <c r="P472" s="17" t="n"/>
      <c r="Q472" s="18">
        <f>IF(AND(I472="Won",P472&lt;&gt;"",N472&gt;=Settings!$B$7),MIN(N472*Settings!$B$2,Settings!$B$3),0)</f>
        <v/>
      </c>
      <c r="R472" s="18">
        <f>IF(AND(I472="Won",P472&lt;&gt;""),O472*Settings!$B$4,0)</f>
        <v/>
      </c>
      <c r="S472" s="17" t="n"/>
    </row>
    <row r="473">
      <c r="A473" s="16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6" t="n"/>
      <c r="K473" s="16">
        <f>IF(OR(J473="",I473="Won",I473="Lost",I473="Not a fit",L473="Yes"),"",J473+Settings!$B$8)</f>
        <v/>
      </c>
      <c r="L473" s="17" t="n"/>
      <c r="M473" s="17" t="n"/>
      <c r="N473" s="18" t="n"/>
      <c r="O473" s="18" t="n"/>
      <c r="P473" s="17" t="n"/>
      <c r="Q473" s="18">
        <f>IF(AND(I473="Won",P473&lt;&gt;"",N473&gt;=Settings!$B$7),MIN(N473*Settings!$B$2,Settings!$B$3),0)</f>
        <v/>
      </c>
      <c r="R473" s="18">
        <f>IF(AND(I473="Won",P473&lt;&gt;""),O473*Settings!$B$4,0)</f>
        <v/>
      </c>
      <c r="S473" s="17" t="n"/>
    </row>
    <row r="474">
      <c r="A474" s="16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6" t="n"/>
      <c r="K474" s="16">
        <f>IF(OR(J474="",I474="Won",I474="Lost",I474="Not a fit",L474="Yes"),"",J474+Settings!$B$8)</f>
        <v/>
      </c>
      <c r="L474" s="17" t="n"/>
      <c r="M474" s="17" t="n"/>
      <c r="N474" s="18" t="n"/>
      <c r="O474" s="18" t="n"/>
      <c r="P474" s="17" t="n"/>
      <c r="Q474" s="18">
        <f>IF(AND(I474="Won",P474&lt;&gt;"",N474&gt;=Settings!$B$7),MIN(N474*Settings!$B$2,Settings!$B$3),0)</f>
        <v/>
      </c>
      <c r="R474" s="18">
        <f>IF(AND(I474="Won",P474&lt;&gt;""),O474*Settings!$B$4,0)</f>
        <v/>
      </c>
      <c r="S474" s="17" t="n"/>
    </row>
    <row r="475">
      <c r="A475" s="16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6" t="n"/>
      <c r="K475" s="16">
        <f>IF(OR(J475="",I475="Won",I475="Lost",I475="Not a fit",L475="Yes"),"",J475+Settings!$B$8)</f>
        <v/>
      </c>
      <c r="L475" s="17" t="n"/>
      <c r="M475" s="17" t="n"/>
      <c r="N475" s="18" t="n"/>
      <c r="O475" s="18" t="n"/>
      <c r="P475" s="17" t="n"/>
      <c r="Q475" s="18">
        <f>IF(AND(I475="Won",P475&lt;&gt;"",N475&gt;=Settings!$B$7),MIN(N475*Settings!$B$2,Settings!$B$3),0)</f>
        <v/>
      </c>
      <c r="R475" s="18">
        <f>IF(AND(I475="Won",P475&lt;&gt;""),O475*Settings!$B$4,0)</f>
        <v/>
      </c>
      <c r="S475" s="17" t="n"/>
    </row>
    <row r="476">
      <c r="A476" s="16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6" t="n"/>
      <c r="K476" s="16">
        <f>IF(OR(J476="",I476="Won",I476="Lost",I476="Not a fit",L476="Yes"),"",J476+Settings!$B$8)</f>
        <v/>
      </c>
      <c r="L476" s="17" t="n"/>
      <c r="M476" s="17" t="n"/>
      <c r="N476" s="18" t="n"/>
      <c r="O476" s="18" t="n"/>
      <c r="P476" s="17" t="n"/>
      <c r="Q476" s="18">
        <f>IF(AND(I476="Won",P476&lt;&gt;"",N476&gt;=Settings!$B$7),MIN(N476*Settings!$B$2,Settings!$B$3),0)</f>
        <v/>
      </c>
      <c r="R476" s="18">
        <f>IF(AND(I476="Won",P476&lt;&gt;""),O476*Settings!$B$4,0)</f>
        <v/>
      </c>
      <c r="S476" s="17" t="n"/>
    </row>
    <row r="477">
      <c r="A477" s="16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6" t="n"/>
      <c r="K477" s="16">
        <f>IF(OR(J477="",I477="Won",I477="Lost",I477="Not a fit",L477="Yes"),"",J477+Settings!$B$8)</f>
        <v/>
      </c>
      <c r="L477" s="17" t="n"/>
      <c r="M477" s="17" t="n"/>
      <c r="N477" s="18" t="n"/>
      <c r="O477" s="18" t="n"/>
      <c r="P477" s="17" t="n"/>
      <c r="Q477" s="18">
        <f>IF(AND(I477="Won",P477&lt;&gt;"",N477&gt;=Settings!$B$7),MIN(N477*Settings!$B$2,Settings!$B$3),0)</f>
        <v/>
      </c>
      <c r="R477" s="18">
        <f>IF(AND(I477="Won",P477&lt;&gt;""),O477*Settings!$B$4,0)</f>
        <v/>
      </c>
      <c r="S477" s="17" t="n"/>
    </row>
    <row r="478">
      <c r="A478" s="16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6" t="n"/>
      <c r="K478" s="16">
        <f>IF(OR(J478="",I478="Won",I478="Lost",I478="Not a fit",L478="Yes"),"",J478+Settings!$B$8)</f>
        <v/>
      </c>
      <c r="L478" s="17" t="n"/>
      <c r="M478" s="17" t="n"/>
      <c r="N478" s="18" t="n"/>
      <c r="O478" s="18" t="n"/>
      <c r="P478" s="17" t="n"/>
      <c r="Q478" s="18">
        <f>IF(AND(I478="Won",P478&lt;&gt;"",N478&gt;=Settings!$B$7),MIN(N478*Settings!$B$2,Settings!$B$3),0)</f>
        <v/>
      </c>
      <c r="R478" s="18">
        <f>IF(AND(I478="Won",P478&lt;&gt;""),O478*Settings!$B$4,0)</f>
        <v/>
      </c>
      <c r="S478" s="17" t="n"/>
    </row>
    <row r="479">
      <c r="A479" s="16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6" t="n"/>
      <c r="K479" s="16">
        <f>IF(OR(J479="",I479="Won",I479="Lost",I479="Not a fit",L479="Yes"),"",J479+Settings!$B$8)</f>
        <v/>
      </c>
      <c r="L479" s="17" t="n"/>
      <c r="M479" s="17" t="n"/>
      <c r="N479" s="18" t="n"/>
      <c r="O479" s="18" t="n"/>
      <c r="P479" s="17" t="n"/>
      <c r="Q479" s="18">
        <f>IF(AND(I479="Won",P479&lt;&gt;"",N479&gt;=Settings!$B$7),MIN(N479*Settings!$B$2,Settings!$B$3),0)</f>
        <v/>
      </c>
      <c r="R479" s="18">
        <f>IF(AND(I479="Won",P479&lt;&gt;""),O479*Settings!$B$4,0)</f>
        <v/>
      </c>
      <c r="S479" s="17" t="n"/>
    </row>
    <row r="480">
      <c r="A480" s="16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6" t="n"/>
      <c r="K480" s="16">
        <f>IF(OR(J480="",I480="Won",I480="Lost",I480="Not a fit",L480="Yes"),"",J480+Settings!$B$8)</f>
        <v/>
      </c>
      <c r="L480" s="17" t="n"/>
      <c r="M480" s="17" t="n"/>
      <c r="N480" s="18" t="n"/>
      <c r="O480" s="18" t="n"/>
      <c r="P480" s="17" t="n"/>
      <c r="Q480" s="18">
        <f>IF(AND(I480="Won",P480&lt;&gt;"",N480&gt;=Settings!$B$7),MIN(N480*Settings!$B$2,Settings!$B$3),0)</f>
        <v/>
      </c>
      <c r="R480" s="18">
        <f>IF(AND(I480="Won",P480&lt;&gt;""),O480*Settings!$B$4,0)</f>
        <v/>
      </c>
      <c r="S480" s="17" t="n"/>
    </row>
    <row r="481">
      <c r="A481" s="16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6" t="n"/>
      <c r="K481" s="16">
        <f>IF(OR(J481="",I481="Won",I481="Lost",I481="Not a fit",L481="Yes"),"",J481+Settings!$B$8)</f>
        <v/>
      </c>
      <c r="L481" s="17" t="n"/>
      <c r="M481" s="17" t="n"/>
      <c r="N481" s="18" t="n"/>
      <c r="O481" s="18" t="n"/>
      <c r="P481" s="17" t="n"/>
      <c r="Q481" s="18">
        <f>IF(AND(I481="Won",P481&lt;&gt;"",N481&gt;=Settings!$B$7),MIN(N481*Settings!$B$2,Settings!$B$3),0)</f>
        <v/>
      </c>
      <c r="R481" s="18">
        <f>IF(AND(I481="Won",P481&lt;&gt;""),O481*Settings!$B$4,0)</f>
        <v/>
      </c>
      <c r="S481" s="17" t="n"/>
    </row>
    <row r="482">
      <c r="A482" s="16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6" t="n"/>
      <c r="K482" s="16">
        <f>IF(OR(J482="",I482="Won",I482="Lost",I482="Not a fit",L482="Yes"),"",J482+Settings!$B$8)</f>
        <v/>
      </c>
      <c r="L482" s="17" t="n"/>
      <c r="M482" s="17" t="n"/>
      <c r="N482" s="18" t="n"/>
      <c r="O482" s="18" t="n"/>
      <c r="P482" s="17" t="n"/>
      <c r="Q482" s="18">
        <f>IF(AND(I482="Won",P482&lt;&gt;"",N482&gt;=Settings!$B$7),MIN(N482*Settings!$B$2,Settings!$B$3),0)</f>
        <v/>
      </c>
      <c r="R482" s="18">
        <f>IF(AND(I482="Won",P482&lt;&gt;""),O482*Settings!$B$4,0)</f>
        <v/>
      </c>
      <c r="S482" s="17" t="n"/>
    </row>
    <row r="483">
      <c r="A483" s="16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6" t="n"/>
      <c r="K483" s="16">
        <f>IF(OR(J483="",I483="Won",I483="Lost",I483="Not a fit",L483="Yes"),"",J483+Settings!$B$8)</f>
        <v/>
      </c>
      <c r="L483" s="17" t="n"/>
      <c r="M483" s="17" t="n"/>
      <c r="N483" s="18" t="n"/>
      <c r="O483" s="18" t="n"/>
      <c r="P483" s="17" t="n"/>
      <c r="Q483" s="18">
        <f>IF(AND(I483="Won",P483&lt;&gt;"",N483&gt;=Settings!$B$7),MIN(N483*Settings!$B$2,Settings!$B$3),0)</f>
        <v/>
      </c>
      <c r="R483" s="18">
        <f>IF(AND(I483="Won",P483&lt;&gt;""),O483*Settings!$B$4,0)</f>
        <v/>
      </c>
      <c r="S483" s="17" t="n"/>
    </row>
    <row r="484">
      <c r="A484" s="16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6" t="n"/>
      <c r="K484" s="16">
        <f>IF(OR(J484="",I484="Won",I484="Lost",I484="Not a fit",L484="Yes"),"",J484+Settings!$B$8)</f>
        <v/>
      </c>
      <c r="L484" s="17" t="n"/>
      <c r="M484" s="17" t="n"/>
      <c r="N484" s="18" t="n"/>
      <c r="O484" s="18" t="n"/>
      <c r="P484" s="17" t="n"/>
      <c r="Q484" s="18">
        <f>IF(AND(I484="Won",P484&lt;&gt;"",N484&gt;=Settings!$B$7),MIN(N484*Settings!$B$2,Settings!$B$3),0)</f>
        <v/>
      </c>
      <c r="R484" s="18">
        <f>IF(AND(I484="Won",P484&lt;&gt;""),O484*Settings!$B$4,0)</f>
        <v/>
      </c>
      <c r="S484" s="17" t="n"/>
    </row>
    <row r="485">
      <c r="A485" s="16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6" t="n"/>
      <c r="K485" s="16">
        <f>IF(OR(J485="",I485="Won",I485="Lost",I485="Not a fit",L485="Yes"),"",J485+Settings!$B$8)</f>
        <v/>
      </c>
      <c r="L485" s="17" t="n"/>
      <c r="M485" s="17" t="n"/>
      <c r="N485" s="18" t="n"/>
      <c r="O485" s="18" t="n"/>
      <c r="P485" s="17" t="n"/>
      <c r="Q485" s="18">
        <f>IF(AND(I485="Won",P485&lt;&gt;"",N485&gt;=Settings!$B$7),MIN(N485*Settings!$B$2,Settings!$B$3),0)</f>
        <v/>
      </c>
      <c r="R485" s="18">
        <f>IF(AND(I485="Won",P485&lt;&gt;""),O485*Settings!$B$4,0)</f>
        <v/>
      </c>
      <c r="S485" s="17" t="n"/>
    </row>
    <row r="486">
      <c r="A486" s="16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6" t="n"/>
      <c r="K486" s="16">
        <f>IF(OR(J486="",I486="Won",I486="Lost",I486="Not a fit",L486="Yes"),"",J486+Settings!$B$8)</f>
        <v/>
      </c>
      <c r="L486" s="17" t="n"/>
      <c r="M486" s="17" t="n"/>
      <c r="N486" s="18" t="n"/>
      <c r="O486" s="18" t="n"/>
      <c r="P486" s="17" t="n"/>
      <c r="Q486" s="18">
        <f>IF(AND(I486="Won",P486&lt;&gt;"",N486&gt;=Settings!$B$7),MIN(N486*Settings!$B$2,Settings!$B$3),0)</f>
        <v/>
      </c>
      <c r="R486" s="18">
        <f>IF(AND(I486="Won",P486&lt;&gt;""),O486*Settings!$B$4,0)</f>
        <v/>
      </c>
      <c r="S486" s="17" t="n"/>
    </row>
    <row r="487">
      <c r="A487" s="16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6" t="n"/>
      <c r="K487" s="16">
        <f>IF(OR(J487="",I487="Won",I487="Lost",I487="Not a fit",L487="Yes"),"",J487+Settings!$B$8)</f>
        <v/>
      </c>
      <c r="L487" s="17" t="n"/>
      <c r="M487" s="17" t="n"/>
      <c r="N487" s="18" t="n"/>
      <c r="O487" s="18" t="n"/>
      <c r="P487" s="17" t="n"/>
      <c r="Q487" s="18">
        <f>IF(AND(I487="Won",P487&lt;&gt;"",N487&gt;=Settings!$B$7),MIN(N487*Settings!$B$2,Settings!$B$3),0)</f>
        <v/>
      </c>
      <c r="R487" s="18">
        <f>IF(AND(I487="Won",P487&lt;&gt;""),O487*Settings!$B$4,0)</f>
        <v/>
      </c>
      <c r="S487" s="17" t="n"/>
    </row>
    <row r="488">
      <c r="A488" s="16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6" t="n"/>
      <c r="K488" s="16">
        <f>IF(OR(J488="",I488="Won",I488="Lost",I488="Not a fit",L488="Yes"),"",J488+Settings!$B$8)</f>
        <v/>
      </c>
      <c r="L488" s="17" t="n"/>
      <c r="M488" s="17" t="n"/>
      <c r="N488" s="18" t="n"/>
      <c r="O488" s="18" t="n"/>
      <c r="P488" s="17" t="n"/>
      <c r="Q488" s="18">
        <f>IF(AND(I488="Won",P488&lt;&gt;"",N488&gt;=Settings!$B$7),MIN(N488*Settings!$B$2,Settings!$B$3),0)</f>
        <v/>
      </c>
      <c r="R488" s="18">
        <f>IF(AND(I488="Won",P488&lt;&gt;""),O488*Settings!$B$4,0)</f>
        <v/>
      </c>
      <c r="S488" s="17" t="n"/>
    </row>
    <row r="489">
      <c r="A489" s="16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6" t="n"/>
      <c r="K489" s="16">
        <f>IF(OR(J489="",I489="Won",I489="Lost",I489="Not a fit",L489="Yes"),"",J489+Settings!$B$8)</f>
        <v/>
      </c>
      <c r="L489" s="17" t="n"/>
      <c r="M489" s="17" t="n"/>
      <c r="N489" s="18" t="n"/>
      <c r="O489" s="18" t="n"/>
      <c r="P489" s="17" t="n"/>
      <c r="Q489" s="18">
        <f>IF(AND(I489="Won",P489&lt;&gt;"",N489&gt;=Settings!$B$7),MIN(N489*Settings!$B$2,Settings!$B$3),0)</f>
        <v/>
      </c>
      <c r="R489" s="18">
        <f>IF(AND(I489="Won",P489&lt;&gt;""),O489*Settings!$B$4,0)</f>
        <v/>
      </c>
      <c r="S489" s="17" t="n"/>
    </row>
    <row r="490">
      <c r="A490" s="16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6" t="n"/>
      <c r="K490" s="16">
        <f>IF(OR(J490="",I490="Won",I490="Lost",I490="Not a fit",L490="Yes"),"",J490+Settings!$B$8)</f>
        <v/>
      </c>
      <c r="L490" s="17" t="n"/>
      <c r="M490" s="17" t="n"/>
      <c r="N490" s="18" t="n"/>
      <c r="O490" s="18" t="n"/>
      <c r="P490" s="17" t="n"/>
      <c r="Q490" s="18">
        <f>IF(AND(I490="Won",P490&lt;&gt;"",N490&gt;=Settings!$B$7),MIN(N490*Settings!$B$2,Settings!$B$3),0)</f>
        <v/>
      </c>
      <c r="R490" s="18">
        <f>IF(AND(I490="Won",P490&lt;&gt;""),O490*Settings!$B$4,0)</f>
        <v/>
      </c>
      <c r="S490" s="17" t="n"/>
    </row>
    <row r="491">
      <c r="A491" s="16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6" t="n"/>
      <c r="K491" s="16">
        <f>IF(OR(J491="",I491="Won",I491="Lost",I491="Not a fit",L491="Yes"),"",J491+Settings!$B$8)</f>
        <v/>
      </c>
      <c r="L491" s="17" t="n"/>
      <c r="M491" s="17" t="n"/>
      <c r="N491" s="18" t="n"/>
      <c r="O491" s="18" t="n"/>
      <c r="P491" s="17" t="n"/>
      <c r="Q491" s="18">
        <f>IF(AND(I491="Won",P491&lt;&gt;"",N491&gt;=Settings!$B$7),MIN(N491*Settings!$B$2,Settings!$B$3),0)</f>
        <v/>
      </c>
      <c r="R491" s="18">
        <f>IF(AND(I491="Won",P491&lt;&gt;""),O491*Settings!$B$4,0)</f>
        <v/>
      </c>
      <c r="S491" s="17" t="n"/>
    </row>
    <row r="492">
      <c r="A492" s="16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6" t="n"/>
      <c r="K492" s="16">
        <f>IF(OR(J492="",I492="Won",I492="Lost",I492="Not a fit",L492="Yes"),"",J492+Settings!$B$8)</f>
        <v/>
      </c>
      <c r="L492" s="17" t="n"/>
      <c r="M492" s="17" t="n"/>
      <c r="N492" s="18" t="n"/>
      <c r="O492" s="18" t="n"/>
      <c r="P492" s="17" t="n"/>
      <c r="Q492" s="18">
        <f>IF(AND(I492="Won",P492&lt;&gt;"",N492&gt;=Settings!$B$7),MIN(N492*Settings!$B$2,Settings!$B$3),0)</f>
        <v/>
      </c>
      <c r="R492" s="18">
        <f>IF(AND(I492="Won",P492&lt;&gt;""),O492*Settings!$B$4,0)</f>
        <v/>
      </c>
      <c r="S492" s="17" t="n"/>
    </row>
    <row r="493">
      <c r="A493" s="16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6" t="n"/>
      <c r="K493" s="16">
        <f>IF(OR(J493="",I493="Won",I493="Lost",I493="Not a fit",L493="Yes"),"",J493+Settings!$B$8)</f>
        <v/>
      </c>
      <c r="L493" s="17" t="n"/>
      <c r="M493" s="17" t="n"/>
      <c r="N493" s="18" t="n"/>
      <c r="O493" s="18" t="n"/>
      <c r="P493" s="17" t="n"/>
      <c r="Q493" s="18">
        <f>IF(AND(I493="Won",P493&lt;&gt;"",N493&gt;=Settings!$B$7),MIN(N493*Settings!$B$2,Settings!$B$3),0)</f>
        <v/>
      </c>
      <c r="R493" s="18">
        <f>IF(AND(I493="Won",P493&lt;&gt;""),O493*Settings!$B$4,0)</f>
        <v/>
      </c>
      <c r="S493" s="17" t="n"/>
    </row>
    <row r="494">
      <c r="A494" s="16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6" t="n"/>
      <c r="K494" s="16">
        <f>IF(OR(J494="",I494="Won",I494="Lost",I494="Not a fit",L494="Yes"),"",J494+Settings!$B$8)</f>
        <v/>
      </c>
      <c r="L494" s="17" t="n"/>
      <c r="M494" s="17" t="n"/>
      <c r="N494" s="18" t="n"/>
      <c r="O494" s="18" t="n"/>
      <c r="P494" s="17" t="n"/>
      <c r="Q494" s="18">
        <f>IF(AND(I494="Won",P494&lt;&gt;"",N494&gt;=Settings!$B$7),MIN(N494*Settings!$B$2,Settings!$B$3),0)</f>
        <v/>
      </c>
      <c r="R494" s="18">
        <f>IF(AND(I494="Won",P494&lt;&gt;""),O494*Settings!$B$4,0)</f>
        <v/>
      </c>
      <c r="S494" s="17" t="n"/>
    </row>
    <row r="495">
      <c r="A495" s="16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6" t="n"/>
      <c r="K495" s="16">
        <f>IF(OR(J495="",I495="Won",I495="Lost",I495="Not a fit",L495="Yes"),"",J495+Settings!$B$8)</f>
        <v/>
      </c>
      <c r="L495" s="17" t="n"/>
      <c r="M495" s="17" t="n"/>
      <c r="N495" s="18" t="n"/>
      <c r="O495" s="18" t="n"/>
      <c r="P495" s="17" t="n"/>
      <c r="Q495" s="18">
        <f>IF(AND(I495="Won",P495&lt;&gt;"",N495&gt;=Settings!$B$7),MIN(N495*Settings!$B$2,Settings!$B$3),0)</f>
        <v/>
      </c>
      <c r="R495" s="18">
        <f>IF(AND(I495="Won",P495&lt;&gt;""),O495*Settings!$B$4,0)</f>
        <v/>
      </c>
      <c r="S495" s="17" t="n"/>
    </row>
    <row r="496">
      <c r="A496" s="16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6" t="n"/>
      <c r="K496" s="16">
        <f>IF(OR(J496="",I496="Won",I496="Lost",I496="Not a fit",L496="Yes"),"",J496+Settings!$B$8)</f>
        <v/>
      </c>
      <c r="L496" s="17" t="n"/>
      <c r="M496" s="17" t="n"/>
      <c r="N496" s="18" t="n"/>
      <c r="O496" s="18" t="n"/>
      <c r="P496" s="17" t="n"/>
      <c r="Q496" s="18">
        <f>IF(AND(I496="Won",P496&lt;&gt;"",N496&gt;=Settings!$B$7),MIN(N496*Settings!$B$2,Settings!$B$3),0)</f>
        <v/>
      </c>
      <c r="R496" s="18">
        <f>IF(AND(I496="Won",P496&lt;&gt;""),O496*Settings!$B$4,0)</f>
        <v/>
      </c>
      <c r="S496" s="17" t="n"/>
    </row>
    <row r="497">
      <c r="A497" s="16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6" t="n"/>
      <c r="K497" s="16">
        <f>IF(OR(J497="",I497="Won",I497="Lost",I497="Not a fit",L497="Yes"),"",J497+Settings!$B$8)</f>
        <v/>
      </c>
      <c r="L497" s="17" t="n"/>
      <c r="M497" s="17" t="n"/>
      <c r="N497" s="18" t="n"/>
      <c r="O497" s="18" t="n"/>
      <c r="P497" s="17" t="n"/>
      <c r="Q497" s="18">
        <f>IF(AND(I497="Won",P497&lt;&gt;"",N497&gt;=Settings!$B$7),MIN(N497*Settings!$B$2,Settings!$B$3),0)</f>
        <v/>
      </c>
      <c r="R497" s="18">
        <f>IF(AND(I497="Won",P497&lt;&gt;""),O497*Settings!$B$4,0)</f>
        <v/>
      </c>
      <c r="S497" s="17" t="n"/>
    </row>
    <row r="498">
      <c r="A498" s="16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6" t="n"/>
      <c r="K498" s="16">
        <f>IF(OR(J498="",I498="Won",I498="Lost",I498="Not a fit",L498="Yes"),"",J498+Settings!$B$8)</f>
        <v/>
      </c>
      <c r="L498" s="17" t="n"/>
      <c r="M498" s="17" t="n"/>
      <c r="N498" s="18" t="n"/>
      <c r="O498" s="18" t="n"/>
      <c r="P498" s="17" t="n"/>
      <c r="Q498" s="18">
        <f>IF(AND(I498="Won",P498&lt;&gt;"",N498&gt;=Settings!$B$7),MIN(N498*Settings!$B$2,Settings!$B$3),0)</f>
        <v/>
      </c>
      <c r="R498" s="18">
        <f>IF(AND(I498="Won",P498&lt;&gt;""),O498*Settings!$B$4,0)</f>
        <v/>
      </c>
      <c r="S498" s="17" t="n"/>
    </row>
    <row r="499">
      <c r="A499" s="16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6" t="n"/>
      <c r="K499" s="16">
        <f>IF(OR(J499="",I499="Won",I499="Lost",I499="Not a fit",L499="Yes"),"",J499+Settings!$B$8)</f>
        <v/>
      </c>
      <c r="L499" s="17" t="n"/>
      <c r="M499" s="17" t="n"/>
      <c r="N499" s="18" t="n"/>
      <c r="O499" s="18" t="n"/>
      <c r="P499" s="17" t="n"/>
      <c r="Q499" s="18">
        <f>IF(AND(I499="Won",P499&lt;&gt;"",N499&gt;=Settings!$B$7),MIN(N499*Settings!$B$2,Settings!$B$3),0)</f>
        <v/>
      </c>
      <c r="R499" s="18">
        <f>IF(AND(I499="Won",P499&lt;&gt;""),O499*Settings!$B$4,0)</f>
        <v/>
      </c>
      <c r="S499" s="17" t="n"/>
    </row>
    <row r="500">
      <c r="A500" s="16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6" t="n"/>
      <c r="K500" s="16">
        <f>IF(OR(J500="",I500="Won",I500="Lost",I500="Not a fit",L500="Yes"),"",J500+Settings!$B$8)</f>
        <v/>
      </c>
      <c r="L500" s="17" t="n"/>
      <c r="M500" s="17" t="n"/>
      <c r="N500" s="18" t="n"/>
      <c r="O500" s="18" t="n"/>
      <c r="P500" s="17" t="n"/>
      <c r="Q500" s="18">
        <f>IF(AND(I500="Won",P500&lt;&gt;"",N500&gt;=Settings!$B$7),MIN(N500*Settings!$B$2,Settings!$B$3),0)</f>
        <v/>
      </c>
      <c r="R500" s="18">
        <f>IF(AND(I500="Won",P500&lt;&gt;""),O500*Settings!$B$4,0)</f>
        <v/>
      </c>
      <c r="S500" s="17" t="n"/>
    </row>
    <row r="501">
      <c r="A501" s="16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6" t="n"/>
      <c r="K501" s="16">
        <f>IF(OR(J501="",I501="Won",I501="Lost",I501="Not a fit",L501="Yes"),"",J501+Settings!$B$8)</f>
        <v/>
      </c>
      <c r="L501" s="17" t="n"/>
      <c r="M501" s="17" t="n"/>
      <c r="N501" s="18" t="n"/>
      <c r="O501" s="18" t="n"/>
      <c r="P501" s="17" t="n"/>
      <c r="Q501" s="18">
        <f>IF(AND(I501="Won",P501&lt;&gt;"",N501&gt;=Settings!$B$7),MIN(N501*Settings!$B$2,Settings!$B$3),0)</f>
        <v/>
      </c>
      <c r="R501" s="18">
        <f>IF(AND(I501="Won",P501&lt;&gt;""),O501*Settings!$B$4,0)</f>
        <v/>
      </c>
      <c r="S501" s="17" t="n"/>
    </row>
  </sheetData>
  <autoFilter ref="A1:S501"/>
  <conditionalFormatting sqref="A2:S501">
    <cfRule type="expression" priority="1" dxfId="0">
      <formula>$I2="Won"</formula>
    </cfRule>
    <cfRule type="expression" priority="2" dxfId="1">
      <formula>OR($I2="Lost",$I2="Not a fit")</formula>
    </cfRule>
  </conditionalFormatting>
  <conditionalFormatting sqref="K2:K501">
    <cfRule type="expression" priority="3" dxfId="2">
      <formula>AND($K2&lt;&gt;"",$K2&lt;=TODAY())</formula>
    </cfRule>
  </conditionalFormatting>
  <dataValidations count="6">
    <dataValidation sqref="E2:E501" showDropDown="0" showInputMessage="0" showErrorMessage="0" allowBlank="1" error="Pick from the list (edit options on the Lists tab)." type="list" errorStyle="warning">
      <formula1>=Lists!$A$2:$A$12</formula1>
    </dataValidation>
    <dataValidation sqref="F2:F501" showDropDown="0" showInputMessage="0" showErrorMessage="0" allowBlank="1" error="Pick from the list (edit options on the Lists tab)." type="list" errorStyle="warning">
      <formula1>=Lists!$B$2:$B$9</formula1>
    </dataValidation>
    <dataValidation sqref="H2:H501" showDropDown="0" showInputMessage="0" showErrorMessage="0" allowBlank="1" error="Pick from the list (edit options on the Lists tab)." type="list" errorStyle="warning">
      <formula1>=Lists!$C$2:$C$5</formula1>
    </dataValidation>
    <dataValidation sqref="I2:I501" showDropDown="0" showInputMessage="0" showErrorMessage="0" allowBlank="1" error="Pick from the list (edit options on the Lists tab)." type="list" errorStyle="warning">
      <formula1>=Lists!$D$2:$D$9</formula1>
    </dataValidation>
    <dataValidation sqref="L2:M501" showDropDown="0" showInputMessage="0" showErrorMessage="0" allowBlank="1" error="Pick from the list (edit options on the Lists tab)." type="list" errorStyle="warning">
      <formula1>=Lists!$E$2:$E$3</formula1>
    </dataValidation>
    <dataValidation sqref="P2:P501" showDropDown="0" showInputMessage="0" showErrorMessage="0" allowBlank="1" error="Pick from the list (edit options on the Lists tab)." type="list" errorStyle="warning">
      <formula1>=Partners!$A$2:$A$501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6" customWidth="1" min="4" max="4"/>
    <col width="12" customWidth="1" min="5" max="5"/>
    <col width="12" customWidth="1" min="6" max="6"/>
    <col width="12" customWidth="1" min="7" max="7"/>
    <col width="11" customWidth="1" min="8" max="8"/>
    <col width="10" customWidth="1" min="9" max="9"/>
    <col width="16" customWidth="1" min="10" max="10"/>
    <col width="16" customWidth="1" min="11" max="11"/>
    <col width="13" customWidth="1" min="12" max="12"/>
    <col width="16" customWidth="1" min="13" max="13"/>
    <col width="14" customWidth="1" min="14" max="14"/>
    <col width="12" customWidth="1" min="15" max="15"/>
    <col width="34" customWidth="1" min="16" max="16"/>
  </cols>
  <sheetData>
    <row r="1" ht="32" customHeight="1">
      <c r="A1" s="3" t="inlineStr">
        <is>
          <t>Partner code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Email / contact</t>
        </is>
      </c>
      <c r="E1" s="3" t="inlineStr">
        <is>
          <t>Country</t>
        </is>
      </c>
      <c r="F1" s="3" t="inlineStr">
        <is>
          <t>Date joined</t>
        </is>
      </c>
      <c r="G1" s="3" t="inlineStr">
        <is>
          <t>Terms accepted?</t>
        </is>
      </c>
      <c r="H1" s="3" t="inlineStr">
        <is>
          <t>Referrals sent</t>
        </is>
      </c>
      <c r="I1" s="3" t="inlineStr">
        <is>
          <t>Qualifying deals won</t>
        </is>
      </c>
      <c r="J1" s="3" t="inlineStr">
        <is>
          <t>First-project commission (£)</t>
        </is>
      </c>
      <c r="K1" s="3" t="inlineStr">
        <is>
          <t>Retainer commission / mo (£)</t>
        </is>
      </c>
      <c r="L1" s="3" t="inlineStr">
        <is>
          <t>3rd-deal bonus (£)</t>
        </is>
      </c>
      <c r="M1" s="3" t="inlineStr">
        <is>
          <t>Total earned so far (£)</t>
        </is>
      </c>
      <c r="N1" s="3" t="inlineStr">
        <is>
          <t>Paid to date (£)</t>
        </is>
      </c>
      <c r="O1" s="3" t="inlineStr">
        <is>
          <t>Owed (£)</t>
        </is>
      </c>
      <c r="P1" s="3" t="inlineStr">
        <is>
          <t>Notes</t>
        </is>
      </c>
    </row>
    <row r="2">
      <c r="A2" s="14" t="inlineStr">
        <is>
          <t>JANE01</t>
        </is>
      </c>
      <c r="B2" s="14" t="inlineStr">
        <is>
          <t>Jane Doe</t>
        </is>
      </c>
      <c r="C2" s="14" t="inlineStr">
        <is>
          <t>Past client</t>
        </is>
      </c>
      <c r="D2" s="14" t="inlineStr">
        <is>
          <t>jane@example.com</t>
        </is>
      </c>
      <c r="E2" s="14" t="inlineStr">
        <is>
          <t>UK</t>
        </is>
      </c>
      <c r="F2" s="13" t="n">
        <v>46296</v>
      </c>
      <c r="G2" s="14" t="inlineStr">
        <is>
          <t>Yes</t>
        </is>
      </c>
      <c r="H2" s="17">
        <f>IF(A2="","",COUNTIF(Leads!$P$2:$P$501,A2))</f>
        <v/>
      </c>
      <c r="I2" s="17">
        <f>IF(A2="","",COUNTIFS(Leads!$P$2:$P$501,A2,Leads!$I$2:$I$501,"Won",Leads!$N$2:$N$501,"&gt;="&amp;Settings!$B$7))</f>
        <v/>
      </c>
      <c r="J2" s="18">
        <f>IF(A2="","",SUMIF(Leads!$P$2:$P$501,A2,Leads!$Q$2:$Q$501))</f>
        <v/>
      </c>
      <c r="K2" s="18">
        <f>IF(A2="","",SUMIF(Leads!$P$2:$P$501,A2,Leads!$R$2:$R$501))</f>
        <v/>
      </c>
      <c r="L2" s="18">
        <f>IF(A2="","",IF(I2&gt;=3,Settings!$B$6,0))</f>
        <v/>
      </c>
      <c r="M2" s="18">
        <f>IF(A2="","",J2+L2)</f>
        <v/>
      </c>
      <c r="N2" s="15" t="n">
        <v>0</v>
      </c>
      <c r="O2" s="18">
        <f>IF(A2="","",M2-N2)</f>
        <v/>
      </c>
      <c r="P2" s="14" t="inlineStr">
        <is>
          <t>EXAMPLE ROW – delete me.</t>
        </is>
      </c>
    </row>
    <row r="3">
      <c r="A3" s="17" t="n"/>
      <c r="B3" s="17" t="n"/>
      <c r="C3" s="17" t="n"/>
      <c r="D3" s="17" t="n"/>
      <c r="E3" s="17" t="n"/>
      <c r="F3" s="16" t="n"/>
      <c r="G3" s="17" t="n"/>
      <c r="H3" s="17">
        <f>IF(A3="","",COUNTIF(Leads!$P$2:$P$501,A3))</f>
        <v/>
      </c>
      <c r="I3" s="17">
        <f>IF(A3="","",COUNTIFS(Leads!$P$2:$P$501,A3,Leads!$I$2:$I$501,"Won",Leads!$N$2:$N$501,"&gt;="&amp;Settings!$B$7))</f>
        <v/>
      </c>
      <c r="J3" s="18">
        <f>IF(A3="","",SUMIF(Leads!$P$2:$P$501,A3,Leads!$Q$2:$Q$501))</f>
        <v/>
      </c>
      <c r="K3" s="18">
        <f>IF(A3="","",SUMIF(Leads!$P$2:$P$501,A3,Leads!$R$2:$R$501))</f>
        <v/>
      </c>
      <c r="L3" s="18">
        <f>IF(A3="","",IF(I3&gt;=3,Settings!$B$6,0))</f>
        <v/>
      </c>
      <c r="M3" s="18">
        <f>IF(A3="","",J3+L3)</f>
        <v/>
      </c>
      <c r="N3" s="18" t="n"/>
      <c r="O3" s="18">
        <f>IF(A3="","",M3-N3)</f>
        <v/>
      </c>
      <c r="P3" s="17" t="n"/>
    </row>
    <row r="4">
      <c r="A4" s="17" t="n"/>
      <c r="B4" s="17" t="n"/>
      <c r="C4" s="17" t="n"/>
      <c r="D4" s="17" t="n"/>
      <c r="E4" s="17" t="n"/>
      <c r="F4" s="16" t="n"/>
      <c r="G4" s="17" t="n"/>
      <c r="H4" s="17">
        <f>IF(A4="","",COUNTIF(Leads!$P$2:$P$501,A4))</f>
        <v/>
      </c>
      <c r="I4" s="17">
        <f>IF(A4="","",COUNTIFS(Leads!$P$2:$P$501,A4,Leads!$I$2:$I$501,"Won",Leads!$N$2:$N$501,"&gt;="&amp;Settings!$B$7))</f>
        <v/>
      </c>
      <c r="J4" s="18">
        <f>IF(A4="","",SUMIF(Leads!$P$2:$P$501,A4,Leads!$Q$2:$Q$501))</f>
        <v/>
      </c>
      <c r="K4" s="18">
        <f>IF(A4="","",SUMIF(Leads!$P$2:$P$501,A4,Leads!$R$2:$R$501))</f>
        <v/>
      </c>
      <c r="L4" s="18">
        <f>IF(A4="","",IF(I4&gt;=3,Settings!$B$6,0))</f>
        <v/>
      </c>
      <c r="M4" s="18">
        <f>IF(A4="","",J4+L4)</f>
        <v/>
      </c>
      <c r="N4" s="18" t="n"/>
      <c r="O4" s="18">
        <f>IF(A4="","",M4-N4)</f>
        <v/>
      </c>
      <c r="P4" s="17" t="n"/>
    </row>
    <row r="5">
      <c r="A5" s="17" t="n"/>
      <c r="B5" s="17" t="n"/>
      <c r="C5" s="17" t="n"/>
      <c r="D5" s="17" t="n"/>
      <c r="E5" s="17" t="n"/>
      <c r="F5" s="16" t="n"/>
      <c r="G5" s="17" t="n"/>
      <c r="H5" s="17">
        <f>IF(A5="","",COUNTIF(Leads!$P$2:$P$501,A5))</f>
        <v/>
      </c>
      <c r="I5" s="17">
        <f>IF(A5="","",COUNTIFS(Leads!$P$2:$P$501,A5,Leads!$I$2:$I$501,"Won",Leads!$N$2:$N$501,"&gt;="&amp;Settings!$B$7))</f>
        <v/>
      </c>
      <c r="J5" s="18">
        <f>IF(A5="","",SUMIF(Leads!$P$2:$P$501,A5,Leads!$Q$2:$Q$501))</f>
        <v/>
      </c>
      <c r="K5" s="18">
        <f>IF(A5="","",SUMIF(Leads!$P$2:$P$501,A5,Leads!$R$2:$R$501))</f>
        <v/>
      </c>
      <c r="L5" s="18">
        <f>IF(A5="","",IF(I5&gt;=3,Settings!$B$6,0))</f>
        <v/>
      </c>
      <c r="M5" s="18">
        <f>IF(A5="","",J5+L5)</f>
        <v/>
      </c>
      <c r="N5" s="18" t="n"/>
      <c r="O5" s="18">
        <f>IF(A5="","",M5-N5)</f>
        <v/>
      </c>
      <c r="P5" s="17" t="n"/>
    </row>
    <row r="6">
      <c r="A6" s="17" t="n"/>
      <c r="B6" s="17" t="n"/>
      <c r="C6" s="17" t="n"/>
      <c r="D6" s="17" t="n"/>
      <c r="E6" s="17" t="n"/>
      <c r="F6" s="16" t="n"/>
      <c r="G6" s="17" t="n"/>
      <c r="H6" s="17">
        <f>IF(A6="","",COUNTIF(Leads!$P$2:$P$501,A6))</f>
        <v/>
      </c>
      <c r="I6" s="17">
        <f>IF(A6="","",COUNTIFS(Leads!$P$2:$P$501,A6,Leads!$I$2:$I$501,"Won",Leads!$N$2:$N$501,"&gt;="&amp;Settings!$B$7))</f>
        <v/>
      </c>
      <c r="J6" s="18">
        <f>IF(A6="","",SUMIF(Leads!$P$2:$P$501,A6,Leads!$Q$2:$Q$501))</f>
        <v/>
      </c>
      <c r="K6" s="18">
        <f>IF(A6="","",SUMIF(Leads!$P$2:$P$501,A6,Leads!$R$2:$R$501))</f>
        <v/>
      </c>
      <c r="L6" s="18">
        <f>IF(A6="","",IF(I6&gt;=3,Settings!$B$6,0))</f>
        <v/>
      </c>
      <c r="M6" s="18">
        <f>IF(A6="","",J6+L6)</f>
        <v/>
      </c>
      <c r="N6" s="18" t="n"/>
      <c r="O6" s="18">
        <f>IF(A6="","",M6-N6)</f>
        <v/>
      </c>
      <c r="P6" s="17" t="n"/>
    </row>
    <row r="7">
      <c r="A7" s="17" t="n"/>
      <c r="B7" s="17" t="n"/>
      <c r="C7" s="17" t="n"/>
      <c r="D7" s="17" t="n"/>
      <c r="E7" s="17" t="n"/>
      <c r="F7" s="16" t="n"/>
      <c r="G7" s="17" t="n"/>
      <c r="H7" s="17">
        <f>IF(A7="","",COUNTIF(Leads!$P$2:$P$501,A7))</f>
        <v/>
      </c>
      <c r="I7" s="17">
        <f>IF(A7="","",COUNTIFS(Leads!$P$2:$P$501,A7,Leads!$I$2:$I$501,"Won",Leads!$N$2:$N$501,"&gt;="&amp;Settings!$B$7))</f>
        <v/>
      </c>
      <c r="J7" s="18">
        <f>IF(A7="","",SUMIF(Leads!$P$2:$P$501,A7,Leads!$Q$2:$Q$501))</f>
        <v/>
      </c>
      <c r="K7" s="18">
        <f>IF(A7="","",SUMIF(Leads!$P$2:$P$501,A7,Leads!$R$2:$R$501))</f>
        <v/>
      </c>
      <c r="L7" s="18">
        <f>IF(A7="","",IF(I7&gt;=3,Settings!$B$6,0))</f>
        <v/>
      </c>
      <c r="M7" s="18">
        <f>IF(A7="","",J7+L7)</f>
        <v/>
      </c>
      <c r="N7" s="18" t="n"/>
      <c r="O7" s="18">
        <f>IF(A7="","",M7-N7)</f>
        <v/>
      </c>
      <c r="P7" s="17" t="n"/>
    </row>
    <row r="8">
      <c r="A8" s="17" t="n"/>
      <c r="B8" s="17" t="n"/>
      <c r="C8" s="17" t="n"/>
      <c r="D8" s="17" t="n"/>
      <c r="E8" s="17" t="n"/>
      <c r="F8" s="16" t="n"/>
      <c r="G8" s="17" t="n"/>
      <c r="H8" s="17">
        <f>IF(A8="","",COUNTIF(Leads!$P$2:$P$501,A8))</f>
        <v/>
      </c>
      <c r="I8" s="17">
        <f>IF(A8="","",COUNTIFS(Leads!$P$2:$P$501,A8,Leads!$I$2:$I$501,"Won",Leads!$N$2:$N$501,"&gt;="&amp;Settings!$B$7))</f>
        <v/>
      </c>
      <c r="J8" s="18">
        <f>IF(A8="","",SUMIF(Leads!$P$2:$P$501,A8,Leads!$Q$2:$Q$501))</f>
        <v/>
      </c>
      <c r="K8" s="18">
        <f>IF(A8="","",SUMIF(Leads!$P$2:$P$501,A8,Leads!$R$2:$R$501))</f>
        <v/>
      </c>
      <c r="L8" s="18">
        <f>IF(A8="","",IF(I8&gt;=3,Settings!$B$6,0))</f>
        <v/>
      </c>
      <c r="M8" s="18">
        <f>IF(A8="","",J8+L8)</f>
        <v/>
      </c>
      <c r="N8" s="18" t="n"/>
      <c r="O8" s="18">
        <f>IF(A8="","",M8-N8)</f>
        <v/>
      </c>
      <c r="P8" s="17" t="n"/>
    </row>
    <row r="9">
      <c r="A9" s="17" t="n"/>
      <c r="B9" s="17" t="n"/>
      <c r="C9" s="17" t="n"/>
      <c r="D9" s="17" t="n"/>
      <c r="E9" s="17" t="n"/>
      <c r="F9" s="16" t="n"/>
      <c r="G9" s="17" t="n"/>
      <c r="H9" s="17">
        <f>IF(A9="","",COUNTIF(Leads!$P$2:$P$501,A9))</f>
        <v/>
      </c>
      <c r="I9" s="17">
        <f>IF(A9="","",COUNTIFS(Leads!$P$2:$P$501,A9,Leads!$I$2:$I$501,"Won",Leads!$N$2:$N$501,"&gt;="&amp;Settings!$B$7))</f>
        <v/>
      </c>
      <c r="J9" s="18">
        <f>IF(A9="","",SUMIF(Leads!$P$2:$P$501,A9,Leads!$Q$2:$Q$501))</f>
        <v/>
      </c>
      <c r="K9" s="18">
        <f>IF(A9="","",SUMIF(Leads!$P$2:$P$501,A9,Leads!$R$2:$R$501))</f>
        <v/>
      </c>
      <c r="L9" s="18">
        <f>IF(A9="","",IF(I9&gt;=3,Settings!$B$6,0))</f>
        <v/>
      </c>
      <c r="M9" s="18">
        <f>IF(A9="","",J9+L9)</f>
        <v/>
      </c>
      <c r="N9" s="18" t="n"/>
      <c r="O9" s="18">
        <f>IF(A9="","",M9-N9)</f>
        <v/>
      </c>
      <c r="P9" s="17" t="n"/>
    </row>
    <row r="10">
      <c r="A10" s="17" t="n"/>
      <c r="B10" s="17" t="n"/>
      <c r="C10" s="17" t="n"/>
      <c r="D10" s="17" t="n"/>
      <c r="E10" s="17" t="n"/>
      <c r="F10" s="16" t="n"/>
      <c r="G10" s="17" t="n"/>
      <c r="H10" s="17">
        <f>IF(A10="","",COUNTIF(Leads!$P$2:$P$501,A10))</f>
        <v/>
      </c>
      <c r="I10" s="17">
        <f>IF(A10="","",COUNTIFS(Leads!$P$2:$P$501,A10,Leads!$I$2:$I$501,"Won",Leads!$N$2:$N$501,"&gt;="&amp;Settings!$B$7))</f>
        <v/>
      </c>
      <c r="J10" s="18">
        <f>IF(A10="","",SUMIF(Leads!$P$2:$P$501,A10,Leads!$Q$2:$Q$501))</f>
        <v/>
      </c>
      <c r="K10" s="18">
        <f>IF(A10="","",SUMIF(Leads!$P$2:$P$501,A10,Leads!$R$2:$R$501))</f>
        <v/>
      </c>
      <c r="L10" s="18">
        <f>IF(A10="","",IF(I10&gt;=3,Settings!$B$6,0))</f>
        <v/>
      </c>
      <c r="M10" s="18">
        <f>IF(A10="","",J10+L10)</f>
        <v/>
      </c>
      <c r="N10" s="18" t="n"/>
      <c r="O10" s="18">
        <f>IF(A10="","",M10-N10)</f>
        <v/>
      </c>
      <c r="P10" s="17" t="n"/>
    </row>
    <row r="11">
      <c r="A11" s="17" t="n"/>
      <c r="B11" s="17" t="n"/>
      <c r="C11" s="17" t="n"/>
      <c r="D11" s="17" t="n"/>
      <c r="E11" s="17" t="n"/>
      <c r="F11" s="16" t="n"/>
      <c r="G11" s="17" t="n"/>
      <c r="H11" s="17">
        <f>IF(A11="","",COUNTIF(Leads!$P$2:$P$501,A11))</f>
        <v/>
      </c>
      <c r="I11" s="17">
        <f>IF(A11="","",COUNTIFS(Leads!$P$2:$P$501,A11,Leads!$I$2:$I$501,"Won",Leads!$N$2:$N$501,"&gt;="&amp;Settings!$B$7))</f>
        <v/>
      </c>
      <c r="J11" s="18">
        <f>IF(A11="","",SUMIF(Leads!$P$2:$P$501,A11,Leads!$Q$2:$Q$501))</f>
        <v/>
      </c>
      <c r="K11" s="18">
        <f>IF(A11="","",SUMIF(Leads!$P$2:$P$501,A11,Leads!$R$2:$R$501))</f>
        <v/>
      </c>
      <c r="L11" s="18">
        <f>IF(A11="","",IF(I11&gt;=3,Settings!$B$6,0))</f>
        <v/>
      </c>
      <c r="M11" s="18">
        <f>IF(A11="","",J11+L11)</f>
        <v/>
      </c>
      <c r="N11" s="18" t="n"/>
      <c r="O11" s="18">
        <f>IF(A11="","",M11-N11)</f>
        <v/>
      </c>
      <c r="P11" s="17" t="n"/>
    </row>
    <row r="12">
      <c r="A12" s="17" t="n"/>
      <c r="B12" s="17" t="n"/>
      <c r="C12" s="17" t="n"/>
      <c r="D12" s="17" t="n"/>
      <c r="E12" s="17" t="n"/>
      <c r="F12" s="16" t="n"/>
      <c r="G12" s="17" t="n"/>
      <c r="H12" s="17">
        <f>IF(A12="","",COUNTIF(Leads!$P$2:$P$501,A12))</f>
        <v/>
      </c>
      <c r="I12" s="17">
        <f>IF(A12="","",COUNTIFS(Leads!$P$2:$P$501,A12,Leads!$I$2:$I$501,"Won",Leads!$N$2:$N$501,"&gt;="&amp;Settings!$B$7))</f>
        <v/>
      </c>
      <c r="J12" s="18">
        <f>IF(A12="","",SUMIF(Leads!$P$2:$P$501,A12,Leads!$Q$2:$Q$501))</f>
        <v/>
      </c>
      <c r="K12" s="18">
        <f>IF(A12="","",SUMIF(Leads!$P$2:$P$501,A12,Leads!$R$2:$R$501))</f>
        <v/>
      </c>
      <c r="L12" s="18">
        <f>IF(A12="","",IF(I12&gt;=3,Settings!$B$6,0))</f>
        <v/>
      </c>
      <c r="M12" s="18">
        <f>IF(A12="","",J12+L12)</f>
        <v/>
      </c>
      <c r="N12" s="18" t="n"/>
      <c r="O12" s="18">
        <f>IF(A12="","",M12-N12)</f>
        <v/>
      </c>
      <c r="P12" s="17" t="n"/>
    </row>
    <row r="13">
      <c r="A13" s="17" t="n"/>
      <c r="B13" s="17" t="n"/>
      <c r="C13" s="17" t="n"/>
      <c r="D13" s="17" t="n"/>
      <c r="E13" s="17" t="n"/>
      <c r="F13" s="16" t="n"/>
      <c r="G13" s="17" t="n"/>
      <c r="H13" s="17">
        <f>IF(A13="","",COUNTIF(Leads!$P$2:$P$501,A13))</f>
        <v/>
      </c>
      <c r="I13" s="17">
        <f>IF(A13="","",COUNTIFS(Leads!$P$2:$P$501,A13,Leads!$I$2:$I$501,"Won",Leads!$N$2:$N$501,"&gt;="&amp;Settings!$B$7))</f>
        <v/>
      </c>
      <c r="J13" s="18">
        <f>IF(A13="","",SUMIF(Leads!$P$2:$P$501,A13,Leads!$Q$2:$Q$501))</f>
        <v/>
      </c>
      <c r="K13" s="18">
        <f>IF(A13="","",SUMIF(Leads!$P$2:$P$501,A13,Leads!$R$2:$R$501))</f>
        <v/>
      </c>
      <c r="L13" s="18">
        <f>IF(A13="","",IF(I13&gt;=3,Settings!$B$6,0))</f>
        <v/>
      </c>
      <c r="M13" s="18">
        <f>IF(A13="","",J13+L13)</f>
        <v/>
      </c>
      <c r="N13" s="18" t="n"/>
      <c r="O13" s="18">
        <f>IF(A13="","",M13-N13)</f>
        <v/>
      </c>
      <c r="P13" s="17" t="n"/>
    </row>
    <row r="14">
      <c r="A14" s="17" t="n"/>
      <c r="B14" s="17" t="n"/>
      <c r="C14" s="17" t="n"/>
      <c r="D14" s="17" t="n"/>
      <c r="E14" s="17" t="n"/>
      <c r="F14" s="16" t="n"/>
      <c r="G14" s="17" t="n"/>
      <c r="H14" s="17">
        <f>IF(A14="","",COUNTIF(Leads!$P$2:$P$501,A14))</f>
        <v/>
      </c>
      <c r="I14" s="17">
        <f>IF(A14="","",COUNTIFS(Leads!$P$2:$P$501,A14,Leads!$I$2:$I$501,"Won",Leads!$N$2:$N$501,"&gt;="&amp;Settings!$B$7))</f>
        <v/>
      </c>
      <c r="J14" s="18">
        <f>IF(A14="","",SUMIF(Leads!$P$2:$P$501,A14,Leads!$Q$2:$Q$501))</f>
        <v/>
      </c>
      <c r="K14" s="18">
        <f>IF(A14="","",SUMIF(Leads!$P$2:$P$501,A14,Leads!$R$2:$R$501))</f>
        <v/>
      </c>
      <c r="L14" s="18">
        <f>IF(A14="","",IF(I14&gt;=3,Settings!$B$6,0))</f>
        <v/>
      </c>
      <c r="M14" s="18">
        <f>IF(A14="","",J14+L14)</f>
        <v/>
      </c>
      <c r="N14" s="18" t="n"/>
      <c r="O14" s="18">
        <f>IF(A14="","",M14-N14)</f>
        <v/>
      </c>
      <c r="P14" s="17" t="n"/>
    </row>
    <row r="15">
      <c r="A15" s="17" t="n"/>
      <c r="B15" s="17" t="n"/>
      <c r="C15" s="17" t="n"/>
      <c r="D15" s="17" t="n"/>
      <c r="E15" s="17" t="n"/>
      <c r="F15" s="16" t="n"/>
      <c r="G15" s="17" t="n"/>
      <c r="H15" s="17">
        <f>IF(A15="","",COUNTIF(Leads!$P$2:$P$501,A15))</f>
        <v/>
      </c>
      <c r="I15" s="17">
        <f>IF(A15="","",COUNTIFS(Leads!$P$2:$P$501,A15,Leads!$I$2:$I$501,"Won",Leads!$N$2:$N$501,"&gt;="&amp;Settings!$B$7))</f>
        <v/>
      </c>
      <c r="J15" s="18">
        <f>IF(A15="","",SUMIF(Leads!$P$2:$P$501,A15,Leads!$Q$2:$Q$501))</f>
        <v/>
      </c>
      <c r="K15" s="18">
        <f>IF(A15="","",SUMIF(Leads!$P$2:$P$501,A15,Leads!$R$2:$R$501))</f>
        <v/>
      </c>
      <c r="L15" s="18">
        <f>IF(A15="","",IF(I15&gt;=3,Settings!$B$6,0))</f>
        <v/>
      </c>
      <c r="M15" s="18">
        <f>IF(A15="","",J15+L15)</f>
        <v/>
      </c>
      <c r="N15" s="18" t="n"/>
      <c r="O15" s="18">
        <f>IF(A15="","",M15-N15)</f>
        <v/>
      </c>
      <c r="P15" s="17" t="n"/>
    </row>
    <row r="16">
      <c r="A16" s="17" t="n"/>
      <c r="B16" s="17" t="n"/>
      <c r="C16" s="17" t="n"/>
      <c r="D16" s="17" t="n"/>
      <c r="E16" s="17" t="n"/>
      <c r="F16" s="16" t="n"/>
      <c r="G16" s="17" t="n"/>
      <c r="H16" s="17">
        <f>IF(A16="","",COUNTIF(Leads!$P$2:$P$501,A16))</f>
        <v/>
      </c>
      <c r="I16" s="17">
        <f>IF(A16="","",COUNTIFS(Leads!$P$2:$P$501,A16,Leads!$I$2:$I$501,"Won",Leads!$N$2:$N$501,"&gt;="&amp;Settings!$B$7))</f>
        <v/>
      </c>
      <c r="J16" s="18">
        <f>IF(A16="","",SUMIF(Leads!$P$2:$P$501,A16,Leads!$Q$2:$Q$501))</f>
        <v/>
      </c>
      <c r="K16" s="18">
        <f>IF(A16="","",SUMIF(Leads!$P$2:$P$501,A16,Leads!$R$2:$R$501))</f>
        <v/>
      </c>
      <c r="L16" s="18">
        <f>IF(A16="","",IF(I16&gt;=3,Settings!$B$6,0))</f>
        <v/>
      </c>
      <c r="M16" s="18">
        <f>IF(A16="","",J16+L16)</f>
        <v/>
      </c>
      <c r="N16" s="18" t="n"/>
      <c r="O16" s="18">
        <f>IF(A16="","",M16-N16)</f>
        <v/>
      </c>
      <c r="P16" s="17" t="n"/>
    </row>
    <row r="17">
      <c r="A17" s="17" t="n"/>
      <c r="B17" s="17" t="n"/>
      <c r="C17" s="17" t="n"/>
      <c r="D17" s="17" t="n"/>
      <c r="E17" s="17" t="n"/>
      <c r="F17" s="16" t="n"/>
      <c r="G17" s="17" t="n"/>
      <c r="H17" s="17">
        <f>IF(A17="","",COUNTIF(Leads!$P$2:$P$501,A17))</f>
        <v/>
      </c>
      <c r="I17" s="17">
        <f>IF(A17="","",COUNTIFS(Leads!$P$2:$P$501,A17,Leads!$I$2:$I$501,"Won",Leads!$N$2:$N$501,"&gt;="&amp;Settings!$B$7))</f>
        <v/>
      </c>
      <c r="J17" s="18">
        <f>IF(A17="","",SUMIF(Leads!$P$2:$P$501,A17,Leads!$Q$2:$Q$501))</f>
        <v/>
      </c>
      <c r="K17" s="18">
        <f>IF(A17="","",SUMIF(Leads!$P$2:$P$501,A17,Leads!$R$2:$R$501))</f>
        <v/>
      </c>
      <c r="L17" s="18">
        <f>IF(A17="","",IF(I17&gt;=3,Settings!$B$6,0))</f>
        <v/>
      </c>
      <c r="M17" s="18">
        <f>IF(A17="","",J17+L17)</f>
        <v/>
      </c>
      <c r="N17" s="18" t="n"/>
      <c r="O17" s="18">
        <f>IF(A17="","",M17-N17)</f>
        <v/>
      </c>
      <c r="P17" s="17" t="n"/>
    </row>
    <row r="18">
      <c r="A18" s="17" t="n"/>
      <c r="B18" s="17" t="n"/>
      <c r="C18" s="17" t="n"/>
      <c r="D18" s="17" t="n"/>
      <c r="E18" s="17" t="n"/>
      <c r="F18" s="16" t="n"/>
      <c r="G18" s="17" t="n"/>
      <c r="H18" s="17">
        <f>IF(A18="","",COUNTIF(Leads!$P$2:$P$501,A18))</f>
        <v/>
      </c>
      <c r="I18" s="17">
        <f>IF(A18="","",COUNTIFS(Leads!$P$2:$P$501,A18,Leads!$I$2:$I$501,"Won",Leads!$N$2:$N$501,"&gt;="&amp;Settings!$B$7))</f>
        <v/>
      </c>
      <c r="J18" s="18">
        <f>IF(A18="","",SUMIF(Leads!$P$2:$P$501,A18,Leads!$Q$2:$Q$501))</f>
        <v/>
      </c>
      <c r="K18" s="18">
        <f>IF(A18="","",SUMIF(Leads!$P$2:$P$501,A18,Leads!$R$2:$R$501))</f>
        <v/>
      </c>
      <c r="L18" s="18">
        <f>IF(A18="","",IF(I18&gt;=3,Settings!$B$6,0))</f>
        <v/>
      </c>
      <c r="M18" s="18">
        <f>IF(A18="","",J18+L18)</f>
        <v/>
      </c>
      <c r="N18" s="18" t="n"/>
      <c r="O18" s="18">
        <f>IF(A18="","",M18-N18)</f>
        <v/>
      </c>
      <c r="P18" s="17" t="n"/>
    </row>
    <row r="19">
      <c r="A19" s="17" t="n"/>
      <c r="B19" s="17" t="n"/>
      <c r="C19" s="17" t="n"/>
      <c r="D19" s="17" t="n"/>
      <c r="E19" s="17" t="n"/>
      <c r="F19" s="16" t="n"/>
      <c r="G19" s="17" t="n"/>
      <c r="H19" s="17">
        <f>IF(A19="","",COUNTIF(Leads!$P$2:$P$501,A19))</f>
        <v/>
      </c>
      <c r="I19" s="17">
        <f>IF(A19="","",COUNTIFS(Leads!$P$2:$P$501,A19,Leads!$I$2:$I$501,"Won",Leads!$N$2:$N$501,"&gt;="&amp;Settings!$B$7))</f>
        <v/>
      </c>
      <c r="J19" s="18">
        <f>IF(A19="","",SUMIF(Leads!$P$2:$P$501,A19,Leads!$Q$2:$Q$501))</f>
        <v/>
      </c>
      <c r="K19" s="18">
        <f>IF(A19="","",SUMIF(Leads!$P$2:$P$501,A19,Leads!$R$2:$R$501))</f>
        <v/>
      </c>
      <c r="L19" s="18">
        <f>IF(A19="","",IF(I19&gt;=3,Settings!$B$6,0))</f>
        <v/>
      </c>
      <c r="M19" s="18">
        <f>IF(A19="","",J19+L19)</f>
        <v/>
      </c>
      <c r="N19" s="18" t="n"/>
      <c r="O19" s="18">
        <f>IF(A19="","",M19-N19)</f>
        <v/>
      </c>
      <c r="P19" s="17" t="n"/>
    </row>
    <row r="20">
      <c r="A20" s="17" t="n"/>
      <c r="B20" s="17" t="n"/>
      <c r="C20" s="17" t="n"/>
      <c r="D20" s="17" t="n"/>
      <c r="E20" s="17" t="n"/>
      <c r="F20" s="16" t="n"/>
      <c r="G20" s="17" t="n"/>
      <c r="H20" s="17">
        <f>IF(A20="","",COUNTIF(Leads!$P$2:$P$501,A20))</f>
        <v/>
      </c>
      <c r="I20" s="17">
        <f>IF(A20="","",COUNTIFS(Leads!$P$2:$P$501,A20,Leads!$I$2:$I$501,"Won",Leads!$N$2:$N$501,"&gt;="&amp;Settings!$B$7))</f>
        <v/>
      </c>
      <c r="J20" s="18">
        <f>IF(A20="","",SUMIF(Leads!$P$2:$P$501,A20,Leads!$Q$2:$Q$501))</f>
        <v/>
      </c>
      <c r="K20" s="18">
        <f>IF(A20="","",SUMIF(Leads!$P$2:$P$501,A20,Leads!$R$2:$R$501))</f>
        <v/>
      </c>
      <c r="L20" s="18">
        <f>IF(A20="","",IF(I20&gt;=3,Settings!$B$6,0))</f>
        <v/>
      </c>
      <c r="M20" s="18">
        <f>IF(A20="","",J20+L20)</f>
        <v/>
      </c>
      <c r="N20" s="18" t="n"/>
      <c r="O20" s="18">
        <f>IF(A20="","",M20-N20)</f>
        <v/>
      </c>
      <c r="P20" s="17" t="n"/>
    </row>
    <row r="21">
      <c r="A21" s="17" t="n"/>
      <c r="B21" s="17" t="n"/>
      <c r="C21" s="17" t="n"/>
      <c r="D21" s="17" t="n"/>
      <c r="E21" s="17" t="n"/>
      <c r="F21" s="16" t="n"/>
      <c r="G21" s="17" t="n"/>
      <c r="H21" s="17">
        <f>IF(A21="","",COUNTIF(Leads!$P$2:$P$501,A21))</f>
        <v/>
      </c>
      <c r="I21" s="17">
        <f>IF(A21="","",COUNTIFS(Leads!$P$2:$P$501,A21,Leads!$I$2:$I$501,"Won",Leads!$N$2:$N$501,"&gt;="&amp;Settings!$B$7))</f>
        <v/>
      </c>
      <c r="J21" s="18">
        <f>IF(A21="","",SUMIF(Leads!$P$2:$P$501,A21,Leads!$Q$2:$Q$501))</f>
        <v/>
      </c>
      <c r="K21" s="18">
        <f>IF(A21="","",SUMIF(Leads!$P$2:$P$501,A21,Leads!$R$2:$R$501))</f>
        <v/>
      </c>
      <c r="L21" s="18">
        <f>IF(A21="","",IF(I21&gt;=3,Settings!$B$6,0))</f>
        <v/>
      </c>
      <c r="M21" s="18">
        <f>IF(A21="","",J21+L21)</f>
        <v/>
      </c>
      <c r="N21" s="18" t="n"/>
      <c r="O21" s="18">
        <f>IF(A21="","",M21-N21)</f>
        <v/>
      </c>
      <c r="P21" s="17" t="n"/>
    </row>
    <row r="22">
      <c r="A22" s="17" t="n"/>
      <c r="B22" s="17" t="n"/>
      <c r="C22" s="17" t="n"/>
      <c r="D22" s="17" t="n"/>
      <c r="E22" s="17" t="n"/>
      <c r="F22" s="16" t="n"/>
      <c r="G22" s="17" t="n"/>
      <c r="H22" s="17">
        <f>IF(A22="","",COUNTIF(Leads!$P$2:$P$501,A22))</f>
        <v/>
      </c>
      <c r="I22" s="17">
        <f>IF(A22="","",COUNTIFS(Leads!$P$2:$P$501,A22,Leads!$I$2:$I$501,"Won",Leads!$N$2:$N$501,"&gt;="&amp;Settings!$B$7))</f>
        <v/>
      </c>
      <c r="J22" s="18">
        <f>IF(A22="","",SUMIF(Leads!$P$2:$P$501,A22,Leads!$Q$2:$Q$501))</f>
        <v/>
      </c>
      <c r="K22" s="18">
        <f>IF(A22="","",SUMIF(Leads!$P$2:$P$501,A22,Leads!$R$2:$R$501))</f>
        <v/>
      </c>
      <c r="L22" s="18">
        <f>IF(A22="","",IF(I22&gt;=3,Settings!$B$6,0))</f>
        <v/>
      </c>
      <c r="M22" s="18">
        <f>IF(A22="","",J22+L22)</f>
        <v/>
      </c>
      <c r="N22" s="18" t="n"/>
      <c r="O22" s="18">
        <f>IF(A22="","",M22-N22)</f>
        <v/>
      </c>
      <c r="P22" s="17" t="n"/>
    </row>
    <row r="23">
      <c r="A23" s="17" t="n"/>
      <c r="B23" s="17" t="n"/>
      <c r="C23" s="17" t="n"/>
      <c r="D23" s="17" t="n"/>
      <c r="E23" s="17" t="n"/>
      <c r="F23" s="16" t="n"/>
      <c r="G23" s="17" t="n"/>
      <c r="H23" s="17">
        <f>IF(A23="","",COUNTIF(Leads!$P$2:$P$501,A23))</f>
        <v/>
      </c>
      <c r="I23" s="17">
        <f>IF(A23="","",COUNTIFS(Leads!$P$2:$P$501,A23,Leads!$I$2:$I$501,"Won",Leads!$N$2:$N$501,"&gt;="&amp;Settings!$B$7))</f>
        <v/>
      </c>
      <c r="J23" s="18">
        <f>IF(A23="","",SUMIF(Leads!$P$2:$P$501,A23,Leads!$Q$2:$Q$501))</f>
        <v/>
      </c>
      <c r="K23" s="18">
        <f>IF(A23="","",SUMIF(Leads!$P$2:$P$501,A23,Leads!$R$2:$R$501))</f>
        <v/>
      </c>
      <c r="L23" s="18">
        <f>IF(A23="","",IF(I23&gt;=3,Settings!$B$6,0))</f>
        <v/>
      </c>
      <c r="M23" s="18">
        <f>IF(A23="","",J23+L23)</f>
        <v/>
      </c>
      <c r="N23" s="18" t="n"/>
      <c r="O23" s="18">
        <f>IF(A23="","",M23-N23)</f>
        <v/>
      </c>
      <c r="P23" s="17" t="n"/>
    </row>
    <row r="24">
      <c r="A24" s="17" t="n"/>
      <c r="B24" s="17" t="n"/>
      <c r="C24" s="17" t="n"/>
      <c r="D24" s="17" t="n"/>
      <c r="E24" s="17" t="n"/>
      <c r="F24" s="16" t="n"/>
      <c r="G24" s="17" t="n"/>
      <c r="H24" s="17">
        <f>IF(A24="","",COUNTIF(Leads!$P$2:$P$501,A24))</f>
        <v/>
      </c>
      <c r="I24" s="17">
        <f>IF(A24="","",COUNTIFS(Leads!$P$2:$P$501,A24,Leads!$I$2:$I$501,"Won",Leads!$N$2:$N$501,"&gt;="&amp;Settings!$B$7))</f>
        <v/>
      </c>
      <c r="J24" s="18">
        <f>IF(A24="","",SUMIF(Leads!$P$2:$P$501,A24,Leads!$Q$2:$Q$501))</f>
        <v/>
      </c>
      <c r="K24" s="18">
        <f>IF(A24="","",SUMIF(Leads!$P$2:$P$501,A24,Leads!$R$2:$R$501))</f>
        <v/>
      </c>
      <c r="L24" s="18">
        <f>IF(A24="","",IF(I24&gt;=3,Settings!$B$6,0))</f>
        <v/>
      </c>
      <c r="M24" s="18">
        <f>IF(A24="","",J24+L24)</f>
        <v/>
      </c>
      <c r="N24" s="18" t="n"/>
      <c r="O24" s="18">
        <f>IF(A24="","",M24-N24)</f>
        <v/>
      </c>
      <c r="P24" s="17" t="n"/>
    </row>
    <row r="25">
      <c r="A25" s="17" t="n"/>
      <c r="B25" s="17" t="n"/>
      <c r="C25" s="17" t="n"/>
      <c r="D25" s="17" t="n"/>
      <c r="E25" s="17" t="n"/>
      <c r="F25" s="16" t="n"/>
      <c r="G25" s="17" t="n"/>
      <c r="H25" s="17">
        <f>IF(A25="","",COUNTIF(Leads!$P$2:$P$501,A25))</f>
        <v/>
      </c>
      <c r="I25" s="17">
        <f>IF(A25="","",COUNTIFS(Leads!$P$2:$P$501,A25,Leads!$I$2:$I$501,"Won",Leads!$N$2:$N$501,"&gt;="&amp;Settings!$B$7))</f>
        <v/>
      </c>
      <c r="J25" s="18">
        <f>IF(A25="","",SUMIF(Leads!$P$2:$P$501,A25,Leads!$Q$2:$Q$501))</f>
        <v/>
      </c>
      <c r="K25" s="18">
        <f>IF(A25="","",SUMIF(Leads!$P$2:$P$501,A25,Leads!$R$2:$R$501))</f>
        <v/>
      </c>
      <c r="L25" s="18">
        <f>IF(A25="","",IF(I25&gt;=3,Settings!$B$6,0))</f>
        <v/>
      </c>
      <c r="M25" s="18">
        <f>IF(A25="","",J25+L25)</f>
        <v/>
      </c>
      <c r="N25" s="18" t="n"/>
      <c r="O25" s="18">
        <f>IF(A25="","",M25-N25)</f>
        <v/>
      </c>
      <c r="P25" s="17" t="n"/>
    </row>
    <row r="26">
      <c r="A26" s="17" t="n"/>
      <c r="B26" s="17" t="n"/>
      <c r="C26" s="17" t="n"/>
      <c r="D26" s="17" t="n"/>
      <c r="E26" s="17" t="n"/>
      <c r="F26" s="16" t="n"/>
      <c r="G26" s="17" t="n"/>
      <c r="H26" s="17">
        <f>IF(A26="","",COUNTIF(Leads!$P$2:$P$501,A26))</f>
        <v/>
      </c>
      <c r="I26" s="17">
        <f>IF(A26="","",COUNTIFS(Leads!$P$2:$P$501,A26,Leads!$I$2:$I$501,"Won",Leads!$N$2:$N$501,"&gt;="&amp;Settings!$B$7))</f>
        <v/>
      </c>
      <c r="J26" s="18">
        <f>IF(A26="","",SUMIF(Leads!$P$2:$P$501,A26,Leads!$Q$2:$Q$501))</f>
        <v/>
      </c>
      <c r="K26" s="18">
        <f>IF(A26="","",SUMIF(Leads!$P$2:$P$501,A26,Leads!$R$2:$R$501))</f>
        <v/>
      </c>
      <c r="L26" s="18">
        <f>IF(A26="","",IF(I26&gt;=3,Settings!$B$6,0))</f>
        <v/>
      </c>
      <c r="M26" s="18">
        <f>IF(A26="","",J26+L26)</f>
        <v/>
      </c>
      <c r="N26" s="18" t="n"/>
      <c r="O26" s="18">
        <f>IF(A26="","",M26-N26)</f>
        <v/>
      </c>
      <c r="P26" s="17" t="n"/>
    </row>
    <row r="27">
      <c r="A27" s="17" t="n"/>
      <c r="B27" s="17" t="n"/>
      <c r="C27" s="17" t="n"/>
      <c r="D27" s="17" t="n"/>
      <c r="E27" s="17" t="n"/>
      <c r="F27" s="16" t="n"/>
      <c r="G27" s="17" t="n"/>
      <c r="H27" s="17">
        <f>IF(A27="","",COUNTIF(Leads!$P$2:$P$501,A27))</f>
        <v/>
      </c>
      <c r="I27" s="17">
        <f>IF(A27="","",COUNTIFS(Leads!$P$2:$P$501,A27,Leads!$I$2:$I$501,"Won",Leads!$N$2:$N$501,"&gt;="&amp;Settings!$B$7))</f>
        <v/>
      </c>
      <c r="J27" s="18">
        <f>IF(A27="","",SUMIF(Leads!$P$2:$P$501,A27,Leads!$Q$2:$Q$501))</f>
        <v/>
      </c>
      <c r="K27" s="18">
        <f>IF(A27="","",SUMIF(Leads!$P$2:$P$501,A27,Leads!$R$2:$R$501))</f>
        <v/>
      </c>
      <c r="L27" s="18">
        <f>IF(A27="","",IF(I27&gt;=3,Settings!$B$6,0))</f>
        <v/>
      </c>
      <c r="M27" s="18">
        <f>IF(A27="","",J27+L27)</f>
        <v/>
      </c>
      <c r="N27" s="18" t="n"/>
      <c r="O27" s="18">
        <f>IF(A27="","",M27-N27)</f>
        <v/>
      </c>
      <c r="P27" s="17" t="n"/>
    </row>
    <row r="28">
      <c r="A28" s="17" t="n"/>
      <c r="B28" s="17" t="n"/>
      <c r="C28" s="17" t="n"/>
      <c r="D28" s="17" t="n"/>
      <c r="E28" s="17" t="n"/>
      <c r="F28" s="16" t="n"/>
      <c r="G28" s="17" t="n"/>
      <c r="H28" s="17">
        <f>IF(A28="","",COUNTIF(Leads!$P$2:$P$501,A28))</f>
        <v/>
      </c>
      <c r="I28" s="17">
        <f>IF(A28="","",COUNTIFS(Leads!$P$2:$P$501,A28,Leads!$I$2:$I$501,"Won",Leads!$N$2:$N$501,"&gt;="&amp;Settings!$B$7))</f>
        <v/>
      </c>
      <c r="J28" s="18">
        <f>IF(A28="","",SUMIF(Leads!$P$2:$P$501,A28,Leads!$Q$2:$Q$501))</f>
        <v/>
      </c>
      <c r="K28" s="18">
        <f>IF(A28="","",SUMIF(Leads!$P$2:$P$501,A28,Leads!$R$2:$R$501))</f>
        <v/>
      </c>
      <c r="L28" s="18">
        <f>IF(A28="","",IF(I28&gt;=3,Settings!$B$6,0))</f>
        <v/>
      </c>
      <c r="M28" s="18">
        <f>IF(A28="","",J28+L28)</f>
        <v/>
      </c>
      <c r="N28" s="18" t="n"/>
      <c r="O28" s="18">
        <f>IF(A28="","",M28-N28)</f>
        <v/>
      </c>
      <c r="P28" s="17" t="n"/>
    </row>
    <row r="29">
      <c r="A29" s="17" t="n"/>
      <c r="B29" s="17" t="n"/>
      <c r="C29" s="17" t="n"/>
      <c r="D29" s="17" t="n"/>
      <c r="E29" s="17" t="n"/>
      <c r="F29" s="16" t="n"/>
      <c r="G29" s="17" t="n"/>
      <c r="H29" s="17">
        <f>IF(A29="","",COUNTIF(Leads!$P$2:$P$501,A29))</f>
        <v/>
      </c>
      <c r="I29" s="17">
        <f>IF(A29="","",COUNTIFS(Leads!$P$2:$P$501,A29,Leads!$I$2:$I$501,"Won",Leads!$N$2:$N$501,"&gt;="&amp;Settings!$B$7))</f>
        <v/>
      </c>
      <c r="J29" s="18">
        <f>IF(A29="","",SUMIF(Leads!$P$2:$P$501,A29,Leads!$Q$2:$Q$501))</f>
        <v/>
      </c>
      <c r="K29" s="18">
        <f>IF(A29="","",SUMIF(Leads!$P$2:$P$501,A29,Leads!$R$2:$R$501))</f>
        <v/>
      </c>
      <c r="L29" s="18">
        <f>IF(A29="","",IF(I29&gt;=3,Settings!$B$6,0))</f>
        <v/>
      </c>
      <c r="M29" s="18">
        <f>IF(A29="","",J29+L29)</f>
        <v/>
      </c>
      <c r="N29" s="18" t="n"/>
      <c r="O29" s="18">
        <f>IF(A29="","",M29-N29)</f>
        <v/>
      </c>
      <c r="P29" s="17" t="n"/>
    </row>
    <row r="30">
      <c r="A30" s="17" t="n"/>
      <c r="B30" s="17" t="n"/>
      <c r="C30" s="17" t="n"/>
      <c r="D30" s="17" t="n"/>
      <c r="E30" s="17" t="n"/>
      <c r="F30" s="16" t="n"/>
      <c r="G30" s="17" t="n"/>
      <c r="H30" s="17">
        <f>IF(A30="","",COUNTIF(Leads!$P$2:$P$501,A30))</f>
        <v/>
      </c>
      <c r="I30" s="17">
        <f>IF(A30="","",COUNTIFS(Leads!$P$2:$P$501,A30,Leads!$I$2:$I$501,"Won",Leads!$N$2:$N$501,"&gt;="&amp;Settings!$B$7))</f>
        <v/>
      </c>
      <c r="J30" s="18">
        <f>IF(A30="","",SUMIF(Leads!$P$2:$P$501,A30,Leads!$Q$2:$Q$501))</f>
        <v/>
      </c>
      <c r="K30" s="18">
        <f>IF(A30="","",SUMIF(Leads!$P$2:$P$501,A30,Leads!$R$2:$R$501))</f>
        <v/>
      </c>
      <c r="L30" s="18">
        <f>IF(A30="","",IF(I30&gt;=3,Settings!$B$6,0))</f>
        <v/>
      </c>
      <c r="M30" s="18">
        <f>IF(A30="","",J30+L30)</f>
        <v/>
      </c>
      <c r="N30" s="18" t="n"/>
      <c r="O30" s="18">
        <f>IF(A30="","",M30-N30)</f>
        <v/>
      </c>
      <c r="P30" s="17" t="n"/>
    </row>
    <row r="31">
      <c r="A31" s="17" t="n"/>
      <c r="B31" s="17" t="n"/>
      <c r="C31" s="17" t="n"/>
      <c r="D31" s="17" t="n"/>
      <c r="E31" s="17" t="n"/>
      <c r="F31" s="16" t="n"/>
      <c r="G31" s="17" t="n"/>
      <c r="H31" s="17">
        <f>IF(A31="","",COUNTIF(Leads!$P$2:$P$501,A31))</f>
        <v/>
      </c>
      <c r="I31" s="17">
        <f>IF(A31="","",COUNTIFS(Leads!$P$2:$P$501,A31,Leads!$I$2:$I$501,"Won",Leads!$N$2:$N$501,"&gt;="&amp;Settings!$B$7))</f>
        <v/>
      </c>
      <c r="J31" s="18">
        <f>IF(A31="","",SUMIF(Leads!$P$2:$P$501,A31,Leads!$Q$2:$Q$501))</f>
        <v/>
      </c>
      <c r="K31" s="18">
        <f>IF(A31="","",SUMIF(Leads!$P$2:$P$501,A31,Leads!$R$2:$R$501))</f>
        <v/>
      </c>
      <c r="L31" s="18">
        <f>IF(A31="","",IF(I31&gt;=3,Settings!$B$6,0))</f>
        <v/>
      </c>
      <c r="M31" s="18">
        <f>IF(A31="","",J31+L31)</f>
        <v/>
      </c>
      <c r="N31" s="18" t="n"/>
      <c r="O31" s="18">
        <f>IF(A31="","",M31-N31)</f>
        <v/>
      </c>
      <c r="P31" s="17" t="n"/>
    </row>
    <row r="32">
      <c r="A32" s="17" t="n"/>
      <c r="B32" s="17" t="n"/>
      <c r="C32" s="17" t="n"/>
      <c r="D32" s="17" t="n"/>
      <c r="E32" s="17" t="n"/>
      <c r="F32" s="16" t="n"/>
      <c r="G32" s="17" t="n"/>
      <c r="H32" s="17">
        <f>IF(A32="","",COUNTIF(Leads!$P$2:$P$501,A32))</f>
        <v/>
      </c>
      <c r="I32" s="17">
        <f>IF(A32="","",COUNTIFS(Leads!$P$2:$P$501,A32,Leads!$I$2:$I$501,"Won",Leads!$N$2:$N$501,"&gt;="&amp;Settings!$B$7))</f>
        <v/>
      </c>
      <c r="J32" s="18">
        <f>IF(A32="","",SUMIF(Leads!$P$2:$P$501,A32,Leads!$Q$2:$Q$501))</f>
        <v/>
      </c>
      <c r="K32" s="18">
        <f>IF(A32="","",SUMIF(Leads!$P$2:$P$501,A32,Leads!$R$2:$R$501))</f>
        <v/>
      </c>
      <c r="L32" s="18">
        <f>IF(A32="","",IF(I32&gt;=3,Settings!$B$6,0))</f>
        <v/>
      </c>
      <c r="M32" s="18">
        <f>IF(A32="","",J32+L32)</f>
        <v/>
      </c>
      <c r="N32" s="18" t="n"/>
      <c r="O32" s="18">
        <f>IF(A32="","",M32-N32)</f>
        <v/>
      </c>
      <c r="P32" s="17" t="n"/>
    </row>
    <row r="33">
      <c r="A33" s="17" t="n"/>
      <c r="B33" s="17" t="n"/>
      <c r="C33" s="17" t="n"/>
      <c r="D33" s="17" t="n"/>
      <c r="E33" s="17" t="n"/>
      <c r="F33" s="16" t="n"/>
      <c r="G33" s="17" t="n"/>
      <c r="H33" s="17">
        <f>IF(A33="","",COUNTIF(Leads!$P$2:$P$501,A33))</f>
        <v/>
      </c>
      <c r="I33" s="17">
        <f>IF(A33="","",COUNTIFS(Leads!$P$2:$P$501,A33,Leads!$I$2:$I$501,"Won",Leads!$N$2:$N$501,"&gt;="&amp;Settings!$B$7))</f>
        <v/>
      </c>
      <c r="J33" s="18">
        <f>IF(A33="","",SUMIF(Leads!$P$2:$P$501,A33,Leads!$Q$2:$Q$501))</f>
        <v/>
      </c>
      <c r="K33" s="18">
        <f>IF(A33="","",SUMIF(Leads!$P$2:$P$501,A33,Leads!$R$2:$R$501))</f>
        <v/>
      </c>
      <c r="L33" s="18">
        <f>IF(A33="","",IF(I33&gt;=3,Settings!$B$6,0))</f>
        <v/>
      </c>
      <c r="M33" s="18">
        <f>IF(A33="","",J33+L33)</f>
        <v/>
      </c>
      <c r="N33" s="18" t="n"/>
      <c r="O33" s="18">
        <f>IF(A33="","",M33-N33)</f>
        <v/>
      </c>
      <c r="P33" s="17" t="n"/>
    </row>
    <row r="34">
      <c r="A34" s="17" t="n"/>
      <c r="B34" s="17" t="n"/>
      <c r="C34" s="17" t="n"/>
      <c r="D34" s="17" t="n"/>
      <c r="E34" s="17" t="n"/>
      <c r="F34" s="16" t="n"/>
      <c r="G34" s="17" t="n"/>
      <c r="H34" s="17">
        <f>IF(A34="","",COUNTIF(Leads!$P$2:$P$501,A34))</f>
        <v/>
      </c>
      <c r="I34" s="17">
        <f>IF(A34="","",COUNTIFS(Leads!$P$2:$P$501,A34,Leads!$I$2:$I$501,"Won",Leads!$N$2:$N$501,"&gt;="&amp;Settings!$B$7))</f>
        <v/>
      </c>
      <c r="J34" s="18">
        <f>IF(A34="","",SUMIF(Leads!$P$2:$P$501,A34,Leads!$Q$2:$Q$501))</f>
        <v/>
      </c>
      <c r="K34" s="18">
        <f>IF(A34="","",SUMIF(Leads!$P$2:$P$501,A34,Leads!$R$2:$R$501))</f>
        <v/>
      </c>
      <c r="L34" s="18">
        <f>IF(A34="","",IF(I34&gt;=3,Settings!$B$6,0))</f>
        <v/>
      </c>
      <c r="M34" s="18">
        <f>IF(A34="","",J34+L34)</f>
        <v/>
      </c>
      <c r="N34" s="18" t="n"/>
      <c r="O34" s="18">
        <f>IF(A34="","",M34-N34)</f>
        <v/>
      </c>
      <c r="P34" s="17" t="n"/>
    </row>
    <row r="35">
      <c r="A35" s="17" t="n"/>
      <c r="B35" s="17" t="n"/>
      <c r="C35" s="17" t="n"/>
      <c r="D35" s="17" t="n"/>
      <c r="E35" s="17" t="n"/>
      <c r="F35" s="16" t="n"/>
      <c r="G35" s="17" t="n"/>
      <c r="H35" s="17">
        <f>IF(A35="","",COUNTIF(Leads!$P$2:$P$501,A35))</f>
        <v/>
      </c>
      <c r="I35" s="17">
        <f>IF(A35="","",COUNTIFS(Leads!$P$2:$P$501,A35,Leads!$I$2:$I$501,"Won",Leads!$N$2:$N$501,"&gt;="&amp;Settings!$B$7))</f>
        <v/>
      </c>
      <c r="J35" s="18">
        <f>IF(A35="","",SUMIF(Leads!$P$2:$P$501,A35,Leads!$Q$2:$Q$501))</f>
        <v/>
      </c>
      <c r="K35" s="18">
        <f>IF(A35="","",SUMIF(Leads!$P$2:$P$501,A35,Leads!$R$2:$R$501))</f>
        <v/>
      </c>
      <c r="L35" s="18">
        <f>IF(A35="","",IF(I35&gt;=3,Settings!$B$6,0))</f>
        <v/>
      </c>
      <c r="M35" s="18">
        <f>IF(A35="","",J35+L35)</f>
        <v/>
      </c>
      <c r="N35" s="18" t="n"/>
      <c r="O35" s="18">
        <f>IF(A35="","",M35-N35)</f>
        <v/>
      </c>
      <c r="P35" s="17" t="n"/>
    </row>
    <row r="36">
      <c r="A36" s="17" t="n"/>
      <c r="B36" s="17" t="n"/>
      <c r="C36" s="17" t="n"/>
      <c r="D36" s="17" t="n"/>
      <c r="E36" s="17" t="n"/>
      <c r="F36" s="16" t="n"/>
      <c r="G36" s="17" t="n"/>
      <c r="H36" s="17">
        <f>IF(A36="","",COUNTIF(Leads!$P$2:$P$501,A36))</f>
        <v/>
      </c>
      <c r="I36" s="17">
        <f>IF(A36="","",COUNTIFS(Leads!$P$2:$P$501,A36,Leads!$I$2:$I$501,"Won",Leads!$N$2:$N$501,"&gt;="&amp;Settings!$B$7))</f>
        <v/>
      </c>
      <c r="J36" s="18">
        <f>IF(A36="","",SUMIF(Leads!$P$2:$P$501,A36,Leads!$Q$2:$Q$501))</f>
        <v/>
      </c>
      <c r="K36" s="18">
        <f>IF(A36="","",SUMIF(Leads!$P$2:$P$501,A36,Leads!$R$2:$R$501))</f>
        <v/>
      </c>
      <c r="L36" s="18">
        <f>IF(A36="","",IF(I36&gt;=3,Settings!$B$6,0))</f>
        <v/>
      </c>
      <c r="M36" s="18">
        <f>IF(A36="","",J36+L36)</f>
        <v/>
      </c>
      <c r="N36" s="18" t="n"/>
      <c r="O36" s="18">
        <f>IF(A36="","",M36-N36)</f>
        <v/>
      </c>
      <c r="P36" s="17" t="n"/>
    </row>
    <row r="37">
      <c r="A37" s="17" t="n"/>
      <c r="B37" s="17" t="n"/>
      <c r="C37" s="17" t="n"/>
      <c r="D37" s="17" t="n"/>
      <c r="E37" s="17" t="n"/>
      <c r="F37" s="16" t="n"/>
      <c r="G37" s="17" t="n"/>
      <c r="H37" s="17">
        <f>IF(A37="","",COUNTIF(Leads!$P$2:$P$501,A37))</f>
        <v/>
      </c>
      <c r="I37" s="17">
        <f>IF(A37="","",COUNTIFS(Leads!$P$2:$P$501,A37,Leads!$I$2:$I$501,"Won",Leads!$N$2:$N$501,"&gt;="&amp;Settings!$B$7))</f>
        <v/>
      </c>
      <c r="J37" s="18">
        <f>IF(A37="","",SUMIF(Leads!$P$2:$P$501,A37,Leads!$Q$2:$Q$501))</f>
        <v/>
      </c>
      <c r="K37" s="18">
        <f>IF(A37="","",SUMIF(Leads!$P$2:$P$501,A37,Leads!$R$2:$R$501))</f>
        <v/>
      </c>
      <c r="L37" s="18">
        <f>IF(A37="","",IF(I37&gt;=3,Settings!$B$6,0))</f>
        <v/>
      </c>
      <c r="M37" s="18">
        <f>IF(A37="","",J37+L37)</f>
        <v/>
      </c>
      <c r="N37" s="18" t="n"/>
      <c r="O37" s="18">
        <f>IF(A37="","",M37-N37)</f>
        <v/>
      </c>
      <c r="P37" s="17" t="n"/>
    </row>
    <row r="38">
      <c r="A38" s="17" t="n"/>
      <c r="B38" s="17" t="n"/>
      <c r="C38" s="17" t="n"/>
      <c r="D38" s="17" t="n"/>
      <c r="E38" s="17" t="n"/>
      <c r="F38" s="16" t="n"/>
      <c r="G38" s="17" t="n"/>
      <c r="H38" s="17">
        <f>IF(A38="","",COUNTIF(Leads!$P$2:$P$501,A38))</f>
        <v/>
      </c>
      <c r="I38" s="17">
        <f>IF(A38="","",COUNTIFS(Leads!$P$2:$P$501,A38,Leads!$I$2:$I$501,"Won",Leads!$N$2:$N$501,"&gt;="&amp;Settings!$B$7))</f>
        <v/>
      </c>
      <c r="J38" s="18">
        <f>IF(A38="","",SUMIF(Leads!$P$2:$P$501,A38,Leads!$Q$2:$Q$501))</f>
        <v/>
      </c>
      <c r="K38" s="18">
        <f>IF(A38="","",SUMIF(Leads!$P$2:$P$501,A38,Leads!$R$2:$R$501))</f>
        <v/>
      </c>
      <c r="L38" s="18">
        <f>IF(A38="","",IF(I38&gt;=3,Settings!$B$6,0))</f>
        <v/>
      </c>
      <c r="M38" s="18">
        <f>IF(A38="","",J38+L38)</f>
        <v/>
      </c>
      <c r="N38" s="18" t="n"/>
      <c r="O38" s="18">
        <f>IF(A38="","",M38-N38)</f>
        <v/>
      </c>
      <c r="P38" s="17" t="n"/>
    </row>
    <row r="39">
      <c r="A39" s="17" t="n"/>
      <c r="B39" s="17" t="n"/>
      <c r="C39" s="17" t="n"/>
      <c r="D39" s="17" t="n"/>
      <c r="E39" s="17" t="n"/>
      <c r="F39" s="16" t="n"/>
      <c r="G39" s="17" t="n"/>
      <c r="H39" s="17">
        <f>IF(A39="","",COUNTIF(Leads!$P$2:$P$501,A39))</f>
        <v/>
      </c>
      <c r="I39" s="17">
        <f>IF(A39="","",COUNTIFS(Leads!$P$2:$P$501,A39,Leads!$I$2:$I$501,"Won",Leads!$N$2:$N$501,"&gt;="&amp;Settings!$B$7))</f>
        <v/>
      </c>
      <c r="J39" s="18">
        <f>IF(A39="","",SUMIF(Leads!$P$2:$P$501,A39,Leads!$Q$2:$Q$501))</f>
        <v/>
      </c>
      <c r="K39" s="18">
        <f>IF(A39="","",SUMIF(Leads!$P$2:$P$501,A39,Leads!$R$2:$R$501))</f>
        <v/>
      </c>
      <c r="L39" s="18">
        <f>IF(A39="","",IF(I39&gt;=3,Settings!$B$6,0))</f>
        <v/>
      </c>
      <c r="M39" s="18">
        <f>IF(A39="","",J39+L39)</f>
        <v/>
      </c>
      <c r="N39" s="18" t="n"/>
      <c r="O39" s="18">
        <f>IF(A39="","",M39-N39)</f>
        <v/>
      </c>
      <c r="P39" s="17" t="n"/>
    </row>
    <row r="40">
      <c r="A40" s="17" t="n"/>
      <c r="B40" s="17" t="n"/>
      <c r="C40" s="17" t="n"/>
      <c r="D40" s="17" t="n"/>
      <c r="E40" s="17" t="n"/>
      <c r="F40" s="16" t="n"/>
      <c r="G40" s="17" t="n"/>
      <c r="H40" s="17">
        <f>IF(A40="","",COUNTIF(Leads!$P$2:$P$501,A40))</f>
        <v/>
      </c>
      <c r="I40" s="17">
        <f>IF(A40="","",COUNTIFS(Leads!$P$2:$P$501,A40,Leads!$I$2:$I$501,"Won",Leads!$N$2:$N$501,"&gt;="&amp;Settings!$B$7))</f>
        <v/>
      </c>
      <c r="J40" s="18">
        <f>IF(A40="","",SUMIF(Leads!$P$2:$P$501,A40,Leads!$Q$2:$Q$501))</f>
        <v/>
      </c>
      <c r="K40" s="18">
        <f>IF(A40="","",SUMIF(Leads!$P$2:$P$501,A40,Leads!$R$2:$R$501))</f>
        <v/>
      </c>
      <c r="L40" s="18">
        <f>IF(A40="","",IF(I40&gt;=3,Settings!$B$6,0))</f>
        <v/>
      </c>
      <c r="M40" s="18">
        <f>IF(A40="","",J40+L40)</f>
        <v/>
      </c>
      <c r="N40" s="18" t="n"/>
      <c r="O40" s="18">
        <f>IF(A40="","",M40-N40)</f>
        <v/>
      </c>
      <c r="P40" s="17" t="n"/>
    </row>
    <row r="41">
      <c r="A41" s="17" t="n"/>
      <c r="B41" s="17" t="n"/>
      <c r="C41" s="17" t="n"/>
      <c r="D41" s="17" t="n"/>
      <c r="E41" s="17" t="n"/>
      <c r="F41" s="16" t="n"/>
      <c r="G41" s="17" t="n"/>
      <c r="H41" s="17">
        <f>IF(A41="","",COUNTIF(Leads!$P$2:$P$501,A41))</f>
        <v/>
      </c>
      <c r="I41" s="17">
        <f>IF(A41="","",COUNTIFS(Leads!$P$2:$P$501,A41,Leads!$I$2:$I$501,"Won",Leads!$N$2:$N$501,"&gt;="&amp;Settings!$B$7))</f>
        <v/>
      </c>
      <c r="J41" s="18">
        <f>IF(A41="","",SUMIF(Leads!$P$2:$P$501,A41,Leads!$Q$2:$Q$501))</f>
        <v/>
      </c>
      <c r="K41" s="18">
        <f>IF(A41="","",SUMIF(Leads!$P$2:$P$501,A41,Leads!$R$2:$R$501))</f>
        <v/>
      </c>
      <c r="L41" s="18">
        <f>IF(A41="","",IF(I41&gt;=3,Settings!$B$6,0))</f>
        <v/>
      </c>
      <c r="M41" s="18">
        <f>IF(A41="","",J41+L41)</f>
        <v/>
      </c>
      <c r="N41" s="18" t="n"/>
      <c r="O41" s="18">
        <f>IF(A41="","",M41-N41)</f>
        <v/>
      </c>
      <c r="P41" s="17" t="n"/>
    </row>
    <row r="42">
      <c r="A42" s="17" t="n"/>
      <c r="B42" s="17" t="n"/>
      <c r="C42" s="17" t="n"/>
      <c r="D42" s="17" t="n"/>
      <c r="E42" s="17" t="n"/>
      <c r="F42" s="16" t="n"/>
      <c r="G42" s="17" t="n"/>
      <c r="H42" s="17">
        <f>IF(A42="","",COUNTIF(Leads!$P$2:$P$501,A42))</f>
        <v/>
      </c>
      <c r="I42" s="17">
        <f>IF(A42="","",COUNTIFS(Leads!$P$2:$P$501,A42,Leads!$I$2:$I$501,"Won",Leads!$N$2:$N$501,"&gt;="&amp;Settings!$B$7))</f>
        <v/>
      </c>
      <c r="J42" s="18">
        <f>IF(A42="","",SUMIF(Leads!$P$2:$P$501,A42,Leads!$Q$2:$Q$501))</f>
        <v/>
      </c>
      <c r="K42" s="18">
        <f>IF(A42="","",SUMIF(Leads!$P$2:$P$501,A42,Leads!$R$2:$R$501))</f>
        <v/>
      </c>
      <c r="L42" s="18">
        <f>IF(A42="","",IF(I42&gt;=3,Settings!$B$6,0))</f>
        <v/>
      </c>
      <c r="M42" s="18">
        <f>IF(A42="","",J42+L42)</f>
        <v/>
      </c>
      <c r="N42" s="18" t="n"/>
      <c r="O42" s="18">
        <f>IF(A42="","",M42-N42)</f>
        <v/>
      </c>
      <c r="P42" s="17" t="n"/>
    </row>
    <row r="43">
      <c r="A43" s="17" t="n"/>
      <c r="B43" s="17" t="n"/>
      <c r="C43" s="17" t="n"/>
      <c r="D43" s="17" t="n"/>
      <c r="E43" s="17" t="n"/>
      <c r="F43" s="16" t="n"/>
      <c r="G43" s="17" t="n"/>
      <c r="H43" s="17">
        <f>IF(A43="","",COUNTIF(Leads!$P$2:$P$501,A43))</f>
        <v/>
      </c>
      <c r="I43" s="17">
        <f>IF(A43="","",COUNTIFS(Leads!$P$2:$P$501,A43,Leads!$I$2:$I$501,"Won",Leads!$N$2:$N$501,"&gt;="&amp;Settings!$B$7))</f>
        <v/>
      </c>
      <c r="J43" s="18">
        <f>IF(A43="","",SUMIF(Leads!$P$2:$P$501,A43,Leads!$Q$2:$Q$501))</f>
        <v/>
      </c>
      <c r="K43" s="18">
        <f>IF(A43="","",SUMIF(Leads!$P$2:$P$501,A43,Leads!$R$2:$R$501))</f>
        <v/>
      </c>
      <c r="L43" s="18">
        <f>IF(A43="","",IF(I43&gt;=3,Settings!$B$6,0))</f>
        <v/>
      </c>
      <c r="M43" s="18">
        <f>IF(A43="","",J43+L43)</f>
        <v/>
      </c>
      <c r="N43" s="18" t="n"/>
      <c r="O43" s="18">
        <f>IF(A43="","",M43-N43)</f>
        <v/>
      </c>
      <c r="P43" s="17" t="n"/>
    </row>
    <row r="44">
      <c r="A44" s="17" t="n"/>
      <c r="B44" s="17" t="n"/>
      <c r="C44" s="17" t="n"/>
      <c r="D44" s="17" t="n"/>
      <c r="E44" s="17" t="n"/>
      <c r="F44" s="16" t="n"/>
      <c r="G44" s="17" t="n"/>
      <c r="H44" s="17">
        <f>IF(A44="","",COUNTIF(Leads!$P$2:$P$501,A44))</f>
        <v/>
      </c>
      <c r="I44" s="17">
        <f>IF(A44="","",COUNTIFS(Leads!$P$2:$P$501,A44,Leads!$I$2:$I$501,"Won",Leads!$N$2:$N$501,"&gt;="&amp;Settings!$B$7))</f>
        <v/>
      </c>
      <c r="J44" s="18">
        <f>IF(A44="","",SUMIF(Leads!$P$2:$P$501,A44,Leads!$Q$2:$Q$501))</f>
        <v/>
      </c>
      <c r="K44" s="18">
        <f>IF(A44="","",SUMIF(Leads!$P$2:$P$501,A44,Leads!$R$2:$R$501))</f>
        <v/>
      </c>
      <c r="L44" s="18">
        <f>IF(A44="","",IF(I44&gt;=3,Settings!$B$6,0))</f>
        <v/>
      </c>
      <c r="M44" s="18">
        <f>IF(A44="","",J44+L44)</f>
        <v/>
      </c>
      <c r="N44" s="18" t="n"/>
      <c r="O44" s="18">
        <f>IF(A44="","",M44-N44)</f>
        <v/>
      </c>
      <c r="P44" s="17" t="n"/>
    </row>
    <row r="45">
      <c r="A45" s="17" t="n"/>
      <c r="B45" s="17" t="n"/>
      <c r="C45" s="17" t="n"/>
      <c r="D45" s="17" t="n"/>
      <c r="E45" s="17" t="n"/>
      <c r="F45" s="16" t="n"/>
      <c r="G45" s="17" t="n"/>
      <c r="H45" s="17">
        <f>IF(A45="","",COUNTIF(Leads!$P$2:$P$501,A45))</f>
        <v/>
      </c>
      <c r="I45" s="17">
        <f>IF(A45="","",COUNTIFS(Leads!$P$2:$P$501,A45,Leads!$I$2:$I$501,"Won",Leads!$N$2:$N$501,"&gt;="&amp;Settings!$B$7))</f>
        <v/>
      </c>
      <c r="J45" s="18">
        <f>IF(A45="","",SUMIF(Leads!$P$2:$P$501,A45,Leads!$Q$2:$Q$501))</f>
        <v/>
      </c>
      <c r="K45" s="18">
        <f>IF(A45="","",SUMIF(Leads!$P$2:$P$501,A45,Leads!$R$2:$R$501))</f>
        <v/>
      </c>
      <c r="L45" s="18">
        <f>IF(A45="","",IF(I45&gt;=3,Settings!$B$6,0))</f>
        <v/>
      </c>
      <c r="M45" s="18">
        <f>IF(A45="","",J45+L45)</f>
        <v/>
      </c>
      <c r="N45" s="18" t="n"/>
      <c r="O45" s="18">
        <f>IF(A45="","",M45-N45)</f>
        <v/>
      </c>
      <c r="P45" s="17" t="n"/>
    </row>
    <row r="46">
      <c r="A46" s="17" t="n"/>
      <c r="B46" s="17" t="n"/>
      <c r="C46" s="17" t="n"/>
      <c r="D46" s="17" t="n"/>
      <c r="E46" s="17" t="n"/>
      <c r="F46" s="16" t="n"/>
      <c r="G46" s="17" t="n"/>
      <c r="H46" s="17">
        <f>IF(A46="","",COUNTIF(Leads!$P$2:$P$501,A46))</f>
        <v/>
      </c>
      <c r="I46" s="17">
        <f>IF(A46="","",COUNTIFS(Leads!$P$2:$P$501,A46,Leads!$I$2:$I$501,"Won",Leads!$N$2:$N$501,"&gt;="&amp;Settings!$B$7))</f>
        <v/>
      </c>
      <c r="J46" s="18">
        <f>IF(A46="","",SUMIF(Leads!$P$2:$P$501,A46,Leads!$Q$2:$Q$501))</f>
        <v/>
      </c>
      <c r="K46" s="18">
        <f>IF(A46="","",SUMIF(Leads!$P$2:$P$501,A46,Leads!$R$2:$R$501))</f>
        <v/>
      </c>
      <c r="L46" s="18">
        <f>IF(A46="","",IF(I46&gt;=3,Settings!$B$6,0))</f>
        <v/>
      </c>
      <c r="M46" s="18">
        <f>IF(A46="","",J46+L46)</f>
        <v/>
      </c>
      <c r="N46" s="18" t="n"/>
      <c r="O46" s="18">
        <f>IF(A46="","",M46-N46)</f>
        <v/>
      </c>
      <c r="P46" s="17" t="n"/>
    </row>
    <row r="47">
      <c r="A47" s="17" t="n"/>
      <c r="B47" s="17" t="n"/>
      <c r="C47" s="17" t="n"/>
      <c r="D47" s="17" t="n"/>
      <c r="E47" s="17" t="n"/>
      <c r="F47" s="16" t="n"/>
      <c r="G47" s="17" t="n"/>
      <c r="H47" s="17">
        <f>IF(A47="","",COUNTIF(Leads!$P$2:$P$501,A47))</f>
        <v/>
      </c>
      <c r="I47" s="17">
        <f>IF(A47="","",COUNTIFS(Leads!$P$2:$P$501,A47,Leads!$I$2:$I$501,"Won",Leads!$N$2:$N$501,"&gt;="&amp;Settings!$B$7))</f>
        <v/>
      </c>
      <c r="J47" s="18">
        <f>IF(A47="","",SUMIF(Leads!$P$2:$P$501,A47,Leads!$Q$2:$Q$501))</f>
        <v/>
      </c>
      <c r="K47" s="18">
        <f>IF(A47="","",SUMIF(Leads!$P$2:$P$501,A47,Leads!$R$2:$R$501))</f>
        <v/>
      </c>
      <c r="L47" s="18">
        <f>IF(A47="","",IF(I47&gt;=3,Settings!$B$6,0))</f>
        <v/>
      </c>
      <c r="M47" s="18">
        <f>IF(A47="","",J47+L47)</f>
        <v/>
      </c>
      <c r="N47" s="18" t="n"/>
      <c r="O47" s="18">
        <f>IF(A47="","",M47-N47)</f>
        <v/>
      </c>
      <c r="P47" s="17" t="n"/>
    </row>
    <row r="48">
      <c r="A48" s="17" t="n"/>
      <c r="B48" s="17" t="n"/>
      <c r="C48" s="17" t="n"/>
      <c r="D48" s="17" t="n"/>
      <c r="E48" s="17" t="n"/>
      <c r="F48" s="16" t="n"/>
      <c r="G48" s="17" t="n"/>
      <c r="H48" s="17">
        <f>IF(A48="","",COUNTIF(Leads!$P$2:$P$501,A48))</f>
        <v/>
      </c>
      <c r="I48" s="17">
        <f>IF(A48="","",COUNTIFS(Leads!$P$2:$P$501,A48,Leads!$I$2:$I$501,"Won",Leads!$N$2:$N$501,"&gt;="&amp;Settings!$B$7))</f>
        <v/>
      </c>
      <c r="J48" s="18">
        <f>IF(A48="","",SUMIF(Leads!$P$2:$P$501,A48,Leads!$Q$2:$Q$501))</f>
        <v/>
      </c>
      <c r="K48" s="18">
        <f>IF(A48="","",SUMIF(Leads!$P$2:$P$501,A48,Leads!$R$2:$R$501))</f>
        <v/>
      </c>
      <c r="L48" s="18">
        <f>IF(A48="","",IF(I48&gt;=3,Settings!$B$6,0))</f>
        <v/>
      </c>
      <c r="M48" s="18">
        <f>IF(A48="","",J48+L48)</f>
        <v/>
      </c>
      <c r="N48" s="18" t="n"/>
      <c r="O48" s="18">
        <f>IF(A48="","",M48-N48)</f>
        <v/>
      </c>
      <c r="P48" s="17" t="n"/>
    </row>
    <row r="49">
      <c r="A49" s="17" t="n"/>
      <c r="B49" s="17" t="n"/>
      <c r="C49" s="17" t="n"/>
      <c r="D49" s="17" t="n"/>
      <c r="E49" s="17" t="n"/>
      <c r="F49" s="16" t="n"/>
      <c r="G49" s="17" t="n"/>
      <c r="H49" s="17">
        <f>IF(A49="","",COUNTIF(Leads!$P$2:$P$501,A49))</f>
        <v/>
      </c>
      <c r="I49" s="17">
        <f>IF(A49="","",COUNTIFS(Leads!$P$2:$P$501,A49,Leads!$I$2:$I$501,"Won",Leads!$N$2:$N$501,"&gt;="&amp;Settings!$B$7))</f>
        <v/>
      </c>
      <c r="J49" s="18">
        <f>IF(A49="","",SUMIF(Leads!$P$2:$P$501,A49,Leads!$Q$2:$Q$501))</f>
        <v/>
      </c>
      <c r="K49" s="18">
        <f>IF(A49="","",SUMIF(Leads!$P$2:$P$501,A49,Leads!$R$2:$R$501))</f>
        <v/>
      </c>
      <c r="L49" s="18">
        <f>IF(A49="","",IF(I49&gt;=3,Settings!$B$6,0))</f>
        <v/>
      </c>
      <c r="M49" s="18">
        <f>IF(A49="","",J49+L49)</f>
        <v/>
      </c>
      <c r="N49" s="18" t="n"/>
      <c r="O49" s="18">
        <f>IF(A49="","",M49-N49)</f>
        <v/>
      </c>
      <c r="P49" s="17" t="n"/>
    </row>
    <row r="50">
      <c r="A50" s="17" t="n"/>
      <c r="B50" s="17" t="n"/>
      <c r="C50" s="17" t="n"/>
      <c r="D50" s="17" t="n"/>
      <c r="E50" s="17" t="n"/>
      <c r="F50" s="16" t="n"/>
      <c r="G50" s="17" t="n"/>
      <c r="H50" s="17">
        <f>IF(A50="","",COUNTIF(Leads!$P$2:$P$501,A50))</f>
        <v/>
      </c>
      <c r="I50" s="17">
        <f>IF(A50="","",COUNTIFS(Leads!$P$2:$P$501,A50,Leads!$I$2:$I$501,"Won",Leads!$N$2:$N$501,"&gt;="&amp;Settings!$B$7))</f>
        <v/>
      </c>
      <c r="J50" s="18">
        <f>IF(A50="","",SUMIF(Leads!$P$2:$P$501,A50,Leads!$Q$2:$Q$501))</f>
        <v/>
      </c>
      <c r="K50" s="18">
        <f>IF(A50="","",SUMIF(Leads!$P$2:$P$501,A50,Leads!$R$2:$R$501))</f>
        <v/>
      </c>
      <c r="L50" s="18">
        <f>IF(A50="","",IF(I50&gt;=3,Settings!$B$6,0))</f>
        <v/>
      </c>
      <c r="M50" s="18">
        <f>IF(A50="","",J50+L50)</f>
        <v/>
      </c>
      <c r="N50" s="18" t="n"/>
      <c r="O50" s="18">
        <f>IF(A50="","",M50-N50)</f>
        <v/>
      </c>
      <c r="P50" s="17" t="n"/>
    </row>
    <row r="51">
      <c r="A51" s="17" t="n"/>
      <c r="B51" s="17" t="n"/>
      <c r="C51" s="17" t="n"/>
      <c r="D51" s="17" t="n"/>
      <c r="E51" s="17" t="n"/>
      <c r="F51" s="16" t="n"/>
      <c r="G51" s="17" t="n"/>
      <c r="H51" s="17">
        <f>IF(A51="","",COUNTIF(Leads!$P$2:$P$501,A51))</f>
        <v/>
      </c>
      <c r="I51" s="17">
        <f>IF(A51="","",COUNTIFS(Leads!$P$2:$P$501,A51,Leads!$I$2:$I$501,"Won",Leads!$N$2:$N$501,"&gt;="&amp;Settings!$B$7))</f>
        <v/>
      </c>
      <c r="J51" s="18">
        <f>IF(A51="","",SUMIF(Leads!$P$2:$P$501,A51,Leads!$Q$2:$Q$501))</f>
        <v/>
      </c>
      <c r="K51" s="18">
        <f>IF(A51="","",SUMIF(Leads!$P$2:$P$501,A51,Leads!$R$2:$R$501))</f>
        <v/>
      </c>
      <c r="L51" s="18">
        <f>IF(A51="","",IF(I51&gt;=3,Settings!$B$6,0))</f>
        <v/>
      </c>
      <c r="M51" s="18">
        <f>IF(A51="","",J51+L51)</f>
        <v/>
      </c>
      <c r="N51" s="18" t="n"/>
      <c r="O51" s="18">
        <f>IF(A51="","",M51-N51)</f>
        <v/>
      </c>
      <c r="P51" s="17" t="n"/>
    </row>
    <row r="52">
      <c r="A52" s="17" t="n"/>
      <c r="B52" s="17" t="n"/>
      <c r="C52" s="17" t="n"/>
      <c r="D52" s="17" t="n"/>
      <c r="E52" s="17" t="n"/>
      <c r="F52" s="16" t="n"/>
      <c r="G52" s="17" t="n"/>
      <c r="H52" s="17">
        <f>IF(A52="","",COUNTIF(Leads!$P$2:$P$501,A52))</f>
        <v/>
      </c>
      <c r="I52" s="17">
        <f>IF(A52="","",COUNTIFS(Leads!$P$2:$P$501,A52,Leads!$I$2:$I$501,"Won",Leads!$N$2:$N$501,"&gt;="&amp;Settings!$B$7))</f>
        <v/>
      </c>
      <c r="J52" s="18">
        <f>IF(A52="","",SUMIF(Leads!$P$2:$P$501,A52,Leads!$Q$2:$Q$501))</f>
        <v/>
      </c>
      <c r="K52" s="18">
        <f>IF(A52="","",SUMIF(Leads!$P$2:$P$501,A52,Leads!$R$2:$R$501))</f>
        <v/>
      </c>
      <c r="L52" s="18">
        <f>IF(A52="","",IF(I52&gt;=3,Settings!$B$6,0))</f>
        <v/>
      </c>
      <c r="M52" s="18">
        <f>IF(A52="","",J52+L52)</f>
        <v/>
      </c>
      <c r="N52" s="18" t="n"/>
      <c r="O52" s="18">
        <f>IF(A52="","",M52-N52)</f>
        <v/>
      </c>
      <c r="P52" s="17" t="n"/>
    </row>
    <row r="53">
      <c r="A53" s="17" t="n"/>
      <c r="B53" s="17" t="n"/>
      <c r="C53" s="17" t="n"/>
      <c r="D53" s="17" t="n"/>
      <c r="E53" s="17" t="n"/>
      <c r="F53" s="16" t="n"/>
      <c r="G53" s="17" t="n"/>
      <c r="H53" s="17">
        <f>IF(A53="","",COUNTIF(Leads!$P$2:$P$501,A53))</f>
        <v/>
      </c>
      <c r="I53" s="17">
        <f>IF(A53="","",COUNTIFS(Leads!$P$2:$P$501,A53,Leads!$I$2:$I$501,"Won",Leads!$N$2:$N$501,"&gt;="&amp;Settings!$B$7))</f>
        <v/>
      </c>
      <c r="J53" s="18">
        <f>IF(A53="","",SUMIF(Leads!$P$2:$P$501,A53,Leads!$Q$2:$Q$501))</f>
        <v/>
      </c>
      <c r="K53" s="18">
        <f>IF(A53="","",SUMIF(Leads!$P$2:$P$501,A53,Leads!$R$2:$R$501))</f>
        <v/>
      </c>
      <c r="L53" s="18">
        <f>IF(A53="","",IF(I53&gt;=3,Settings!$B$6,0))</f>
        <v/>
      </c>
      <c r="M53" s="18">
        <f>IF(A53="","",J53+L53)</f>
        <v/>
      </c>
      <c r="N53" s="18" t="n"/>
      <c r="O53" s="18">
        <f>IF(A53="","",M53-N53)</f>
        <v/>
      </c>
      <c r="P53" s="17" t="n"/>
    </row>
    <row r="54">
      <c r="A54" s="17" t="n"/>
      <c r="B54" s="17" t="n"/>
      <c r="C54" s="17" t="n"/>
      <c r="D54" s="17" t="n"/>
      <c r="E54" s="17" t="n"/>
      <c r="F54" s="16" t="n"/>
      <c r="G54" s="17" t="n"/>
      <c r="H54" s="17">
        <f>IF(A54="","",COUNTIF(Leads!$P$2:$P$501,A54))</f>
        <v/>
      </c>
      <c r="I54" s="17">
        <f>IF(A54="","",COUNTIFS(Leads!$P$2:$P$501,A54,Leads!$I$2:$I$501,"Won",Leads!$N$2:$N$501,"&gt;="&amp;Settings!$B$7))</f>
        <v/>
      </c>
      <c r="J54" s="18">
        <f>IF(A54="","",SUMIF(Leads!$P$2:$P$501,A54,Leads!$Q$2:$Q$501))</f>
        <v/>
      </c>
      <c r="K54" s="18">
        <f>IF(A54="","",SUMIF(Leads!$P$2:$P$501,A54,Leads!$R$2:$R$501))</f>
        <v/>
      </c>
      <c r="L54" s="18">
        <f>IF(A54="","",IF(I54&gt;=3,Settings!$B$6,0))</f>
        <v/>
      </c>
      <c r="M54" s="18">
        <f>IF(A54="","",J54+L54)</f>
        <v/>
      </c>
      <c r="N54" s="18" t="n"/>
      <c r="O54" s="18">
        <f>IF(A54="","",M54-N54)</f>
        <v/>
      </c>
      <c r="P54" s="17" t="n"/>
    </row>
    <row r="55">
      <c r="A55" s="17" t="n"/>
      <c r="B55" s="17" t="n"/>
      <c r="C55" s="17" t="n"/>
      <c r="D55" s="17" t="n"/>
      <c r="E55" s="17" t="n"/>
      <c r="F55" s="16" t="n"/>
      <c r="G55" s="17" t="n"/>
      <c r="H55" s="17">
        <f>IF(A55="","",COUNTIF(Leads!$P$2:$P$501,A55))</f>
        <v/>
      </c>
      <c r="I55" s="17">
        <f>IF(A55="","",COUNTIFS(Leads!$P$2:$P$501,A55,Leads!$I$2:$I$501,"Won",Leads!$N$2:$N$501,"&gt;="&amp;Settings!$B$7))</f>
        <v/>
      </c>
      <c r="J55" s="18">
        <f>IF(A55="","",SUMIF(Leads!$P$2:$P$501,A55,Leads!$Q$2:$Q$501))</f>
        <v/>
      </c>
      <c r="K55" s="18">
        <f>IF(A55="","",SUMIF(Leads!$P$2:$P$501,A55,Leads!$R$2:$R$501))</f>
        <v/>
      </c>
      <c r="L55" s="18">
        <f>IF(A55="","",IF(I55&gt;=3,Settings!$B$6,0))</f>
        <v/>
      </c>
      <c r="M55" s="18">
        <f>IF(A55="","",J55+L55)</f>
        <v/>
      </c>
      <c r="N55" s="18" t="n"/>
      <c r="O55" s="18">
        <f>IF(A55="","",M55-N55)</f>
        <v/>
      </c>
      <c r="P55" s="17" t="n"/>
    </row>
    <row r="56">
      <c r="A56" s="17" t="n"/>
      <c r="B56" s="17" t="n"/>
      <c r="C56" s="17" t="n"/>
      <c r="D56" s="17" t="n"/>
      <c r="E56" s="17" t="n"/>
      <c r="F56" s="16" t="n"/>
      <c r="G56" s="17" t="n"/>
      <c r="H56" s="17">
        <f>IF(A56="","",COUNTIF(Leads!$P$2:$P$501,A56))</f>
        <v/>
      </c>
      <c r="I56" s="17">
        <f>IF(A56="","",COUNTIFS(Leads!$P$2:$P$501,A56,Leads!$I$2:$I$501,"Won",Leads!$N$2:$N$501,"&gt;="&amp;Settings!$B$7))</f>
        <v/>
      </c>
      <c r="J56" s="18">
        <f>IF(A56="","",SUMIF(Leads!$P$2:$P$501,A56,Leads!$Q$2:$Q$501))</f>
        <v/>
      </c>
      <c r="K56" s="18">
        <f>IF(A56="","",SUMIF(Leads!$P$2:$P$501,A56,Leads!$R$2:$R$501))</f>
        <v/>
      </c>
      <c r="L56" s="18">
        <f>IF(A56="","",IF(I56&gt;=3,Settings!$B$6,0))</f>
        <v/>
      </c>
      <c r="M56" s="18">
        <f>IF(A56="","",J56+L56)</f>
        <v/>
      </c>
      <c r="N56" s="18" t="n"/>
      <c r="O56" s="18">
        <f>IF(A56="","",M56-N56)</f>
        <v/>
      </c>
      <c r="P56" s="17" t="n"/>
    </row>
    <row r="57">
      <c r="A57" s="17" t="n"/>
      <c r="B57" s="17" t="n"/>
      <c r="C57" s="17" t="n"/>
      <c r="D57" s="17" t="n"/>
      <c r="E57" s="17" t="n"/>
      <c r="F57" s="16" t="n"/>
      <c r="G57" s="17" t="n"/>
      <c r="H57" s="17">
        <f>IF(A57="","",COUNTIF(Leads!$P$2:$P$501,A57))</f>
        <v/>
      </c>
      <c r="I57" s="17">
        <f>IF(A57="","",COUNTIFS(Leads!$P$2:$P$501,A57,Leads!$I$2:$I$501,"Won",Leads!$N$2:$N$501,"&gt;="&amp;Settings!$B$7))</f>
        <v/>
      </c>
      <c r="J57" s="18">
        <f>IF(A57="","",SUMIF(Leads!$P$2:$P$501,A57,Leads!$Q$2:$Q$501))</f>
        <v/>
      </c>
      <c r="K57" s="18">
        <f>IF(A57="","",SUMIF(Leads!$P$2:$P$501,A57,Leads!$R$2:$R$501))</f>
        <v/>
      </c>
      <c r="L57" s="18">
        <f>IF(A57="","",IF(I57&gt;=3,Settings!$B$6,0))</f>
        <v/>
      </c>
      <c r="M57" s="18">
        <f>IF(A57="","",J57+L57)</f>
        <v/>
      </c>
      <c r="N57" s="18" t="n"/>
      <c r="O57" s="18">
        <f>IF(A57="","",M57-N57)</f>
        <v/>
      </c>
      <c r="P57" s="17" t="n"/>
    </row>
    <row r="58">
      <c r="A58" s="17" t="n"/>
      <c r="B58" s="17" t="n"/>
      <c r="C58" s="17" t="n"/>
      <c r="D58" s="17" t="n"/>
      <c r="E58" s="17" t="n"/>
      <c r="F58" s="16" t="n"/>
      <c r="G58" s="17" t="n"/>
      <c r="H58" s="17">
        <f>IF(A58="","",COUNTIF(Leads!$P$2:$P$501,A58))</f>
        <v/>
      </c>
      <c r="I58" s="17">
        <f>IF(A58="","",COUNTIFS(Leads!$P$2:$P$501,A58,Leads!$I$2:$I$501,"Won",Leads!$N$2:$N$501,"&gt;="&amp;Settings!$B$7))</f>
        <v/>
      </c>
      <c r="J58" s="18">
        <f>IF(A58="","",SUMIF(Leads!$P$2:$P$501,A58,Leads!$Q$2:$Q$501))</f>
        <v/>
      </c>
      <c r="K58" s="18">
        <f>IF(A58="","",SUMIF(Leads!$P$2:$P$501,A58,Leads!$R$2:$R$501))</f>
        <v/>
      </c>
      <c r="L58" s="18">
        <f>IF(A58="","",IF(I58&gt;=3,Settings!$B$6,0))</f>
        <v/>
      </c>
      <c r="M58" s="18">
        <f>IF(A58="","",J58+L58)</f>
        <v/>
      </c>
      <c r="N58" s="18" t="n"/>
      <c r="O58" s="18">
        <f>IF(A58="","",M58-N58)</f>
        <v/>
      </c>
      <c r="P58" s="17" t="n"/>
    </row>
    <row r="59">
      <c r="A59" s="17" t="n"/>
      <c r="B59" s="17" t="n"/>
      <c r="C59" s="17" t="n"/>
      <c r="D59" s="17" t="n"/>
      <c r="E59" s="17" t="n"/>
      <c r="F59" s="16" t="n"/>
      <c r="G59" s="17" t="n"/>
      <c r="H59" s="17">
        <f>IF(A59="","",COUNTIF(Leads!$P$2:$P$501,A59))</f>
        <v/>
      </c>
      <c r="I59" s="17">
        <f>IF(A59="","",COUNTIFS(Leads!$P$2:$P$501,A59,Leads!$I$2:$I$501,"Won",Leads!$N$2:$N$501,"&gt;="&amp;Settings!$B$7))</f>
        <v/>
      </c>
      <c r="J59" s="18">
        <f>IF(A59="","",SUMIF(Leads!$P$2:$P$501,A59,Leads!$Q$2:$Q$501))</f>
        <v/>
      </c>
      <c r="K59" s="18">
        <f>IF(A59="","",SUMIF(Leads!$P$2:$P$501,A59,Leads!$R$2:$R$501))</f>
        <v/>
      </c>
      <c r="L59" s="18">
        <f>IF(A59="","",IF(I59&gt;=3,Settings!$B$6,0))</f>
        <v/>
      </c>
      <c r="M59" s="18">
        <f>IF(A59="","",J59+L59)</f>
        <v/>
      </c>
      <c r="N59" s="18" t="n"/>
      <c r="O59" s="18">
        <f>IF(A59="","",M59-N59)</f>
        <v/>
      </c>
      <c r="P59" s="17" t="n"/>
    </row>
    <row r="60">
      <c r="A60" s="17" t="n"/>
      <c r="B60" s="17" t="n"/>
      <c r="C60" s="17" t="n"/>
      <c r="D60" s="17" t="n"/>
      <c r="E60" s="17" t="n"/>
      <c r="F60" s="16" t="n"/>
      <c r="G60" s="17" t="n"/>
      <c r="H60" s="17">
        <f>IF(A60="","",COUNTIF(Leads!$P$2:$P$501,A60))</f>
        <v/>
      </c>
      <c r="I60" s="17">
        <f>IF(A60="","",COUNTIFS(Leads!$P$2:$P$501,A60,Leads!$I$2:$I$501,"Won",Leads!$N$2:$N$501,"&gt;="&amp;Settings!$B$7))</f>
        <v/>
      </c>
      <c r="J60" s="18">
        <f>IF(A60="","",SUMIF(Leads!$P$2:$P$501,A60,Leads!$Q$2:$Q$501))</f>
        <v/>
      </c>
      <c r="K60" s="18">
        <f>IF(A60="","",SUMIF(Leads!$P$2:$P$501,A60,Leads!$R$2:$R$501))</f>
        <v/>
      </c>
      <c r="L60" s="18">
        <f>IF(A60="","",IF(I60&gt;=3,Settings!$B$6,0))</f>
        <v/>
      </c>
      <c r="M60" s="18">
        <f>IF(A60="","",J60+L60)</f>
        <v/>
      </c>
      <c r="N60" s="18" t="n"/>
      <c r="O60" s="18">
        <f>IF(A60="","",M60-N60)</f>
        <v/>
      </c>
      <c r="P60" s="17" t="n"/>
    </row>
    <row r="61">
      <c r="A61" s="17" t="n"/>
      <c r="B61" s="17" t="n"/>
      <c r="C61" s="17" t="n"/>
      <c r="D61" s="17" t="n"/>
      <c r="E61" s="17" t="n"/>
      <c r="F61" s="16" t="n"/>
      <c r="G61" s="17" t="n"/>
      <c r="H61" s="17">
        <f>IF(A61="","",COUNTIF(Leads!$P$2:$P$501,A61))</f>
        <v/>
      </c>
      <c r="I61" s="17">
        <f>IF(A61="","",COUNTIFS(Leads!$P$2:$P$501,A61,Leads!$I$2:$I$501,"Won",Leads!$N$2:$N$501,"&gt;="&amp;Settings!$B$7))</f>
        <v/>
      </c>
      <c r="J61" s="18">
        <f>IF(A61="","",SUMIF(Leads!$P$2:$P$501,A61,Leads!$Q$2:$Q$501))</f>
        <v/>
      </c>
      <c r="K61" s="18">
        <f>IF(A61="","",SUMIF(Leads!$P$2:$P$501,A61,Leads!$R$2:$R$501))</f>
        <v/>
      </c>
      <c r="L61" s="18">
        <f>IF(A61="","",IF(I61&gt;=3,Settings!$B$6,0))</f>
        <v/>
      </c>
      <c r="M61" s="18">
        <f>IF(A61="","",J61+L61)</f>
        <v/>
      </c>
      <c r="N61" s="18" t="n"/>
      <c r="O61" s="18">
        <f>IF(A61="","",M61-N61)</f>
        <v/>
      </c>
      <c r="P61" s="17" t="n"/>
    </row>
    <row r="62">
      <c r="A62" s="17" t="n"/>
      <c r="B62" s="17" t="n"/>
      <c r="C62" s="17" t="n"/>
      <c r="D62" s="17" t="n"/>
      <c r="E62" s="17" t="n"/>
      <c r="F62" s="16" t="n"/>
      <c r="G62" s="17" t="n"/>
      <c r="H62" s="17">
        <f>IF(A62="","",COUNTIF(Leads!$P$2:$P$501,A62))</f>
        <v/>
      </c>
      <c r="I62" s="17">
        <f>IF(A62="","",COUNTIFS(Leads!$P$2:$P$501,A62,Leads!$I$2:$I$501,"Won",Leads!$N$2:$N$501,"&gt;="&amp;Settings!$B$7))</f>
        <v/>
      </c>
      <c r="J62" s="18">
        <f>IF(A62="","",SUMIF(Leads!$P$2:$P$501,A62,Leads!$Q$2:$Q$501))</f>
        <v/>
      </c>
      <c r="K62" s="18">
        <f>IF(A62="","",SUMIF(Leads!$P$2:$P$501,A62,Leads!$R$2:$R$501))</f>
        <v/>
      </c>
      <c r="L62" s="18">
        <f>IF(A62="","",IF(I62&gt;=3,Settings!$B$6,0))</f>
        <v/>
      </c>
      <c r="M62" s="18">
        <f>IF(A62="","",J62+L62)</f>
        <v/>
      </c>
      <c r="N62" s="18" t="n"/>
      <c r="O62" s="18">
        <f>IF(A62="","",M62-N62)</f>
        <v/>
      </c>
      <c r="P62" s="17" t="n"/>
    </row>
    <row r="63">
      <c r="A63" s="17" t="n"/>
      <c r="B63" s="17" t="n"/>
      <c r="C63" s="17" t="n"/>
      <c r="D63" s="17" t="n"/>
      <c r="E63" s="17" t="n"/>
      <c r="F63" s="16" t="n"/>
      <c r="G63" s="17" t="n"/>
      <c r="H63" s="17">
        <f>IF(A63="","",COUNTIF(Leads!$P$2:$P$501,A63))</f>
        <v/>
      </c>
      <c r="I63" s="17">
        <f>IF(A63="","",COUNTIFS(Leads!$P$2:$P$501,A63,Leads!$I$2:$I$501,"Won",Leads!$N$2:$N$501,"&gt;="&amp;Settings!$B$7))</f>
        <v/>
      </c>
      <c r="J63" s="18">
        <f>IF(A63="","",SUMIF(Leads!$P$2:$P$501,A63,Leads!$Q$2:$Q$501))</f>
        <v/>
      </c>
      <c r="K63" s="18">
        <f>IF(A63="","",SUMIF(Leads!$P$2:$P$501,A63,Leads!$R$2:$R$501))</f>
        <v/>
      </c>
      <c r="L63" s="18">
        <f>IF(A63="","",IF(I63&gt;=3,Settings!$B$6,0))</f>
        <v/>
      </c>
      <c r="M63" s="18">
        <f>IF(A63="","",J63+L63)</f>
        <v/>
      </c>
      <c r="N63" s="18" t="n"/>
      <c r="O63" s="18">
        <f>IF(A63="","",M63-N63)</f>
        <v/>
      </c>
      <c r="P63" s="17" t="n"/>
    </row>
    <row r="64">
      <c r="A64" s="17" t="n"/>
      <c r="B64" s="17" t="n"/>
      <c r="C64" s="17" t="n"/>
      <c r="D64" s="17" t="n"/>
      <c r="E64" s="17" t="n"/>
      <c r="F64" s="16" t="n"/>
      <c r="G64" s="17" t="n"/>
      <c r="H64" s="17">
        <f>IF(A64="","",COUNTIF(Leads!$P$2:$P$501,A64))</f>
        <v/>
      </c>
      <c r="I64" s="17">
        <f>IF(A64="","",COUNTIFS(Leads!$P$2:$P$501,A64,Leads!$I$2:$I$501,"Won",Leads!$N$2:$N$501,"&gt;="&amp;Settings!$B$7))</f>
        <v/>
      </c>
      <c r="J64" s="18">
        <f>IF(A64="","",SUMIF(Leads!$P$2:$P$501,A64,Leads!$Q$2:$Q$501))</f>
        <v/>
      </c>
      <c r="K64" s="18">
        <f>IF(A64="","",SUMIF(Leads!$P$2:$P$501,A64,Leads!$R$2:$R$501))</f>
        <v/>
      </c>
      <c r="L64" s="18">
        <f>IF(A64="","",IF(I64&gt;=3,Settings!$B$6,0))</f>
        <v/>
      </c>
      <c r="M64" s="18">
        <f>IF(A64="","",J64+L64)</f>
        <v/>
      </c>
      <c r="N64" s="18" t="n"/>
      <c r="O64" s="18">
        <f>IF(A64="","",M64-N64)</f>
        <v/>
      </c>
      <c r="P64" s="17" t="n"/>
    </row>
    <row r="65">
      <c r="A65" s="17" t="n"/>
      <c r="B65" s="17" t="n"/>
      <c r="C65" s="17" t="n"/>
      <c r="D65" s="17" t="n"/>
      <c r="E65" s="17" t="n"/>
      <c r="F65" s="16" t="n"/>
      <c r="G65" s="17" t="n"/>
      <c r="H65" s="17">
        <f>IF(A65="","",COUNTIF(Leads!$P$2:$P$501,A65))</f>
        <v/>
      </c>
      <c r="I65" s="17">
        <f>IF(A65="","",COUNTIFS(Leads!$P$2:$P$501,A65,Leads!$I$2:$I$501,"Won",Leads!$N$2:$N$501,"&gt;="&amp;Settings!$B$7))</f>
        <v/>
      </c>
      <c r="J65" s="18">
        <f>IF(A65="","",SUMIF(Leads!$P$2:$P$501,A65,Leads!$Q$2:$Q$501))</f>
        <v/>
      </c>
      <c r="K65" s="18">
        <f>IF(A65="","",SUMIF(Leads!$P$2:$P$501,A65,Leads!$R$2:$R$501))</f>
        <v/>
      </c>
      <c r="L65" s="18">
        <f>IF(A65="","",IF(I65&gt;=3,Settings!$B$6,0))</f>
        <v/>
      </c>
      <c r="M65" s="18">
        <f>IF(A65="","",J65+L65)</f>
        <v/>
      </c>
      <c r="N65" s="18" t="n"/>
      <c r="O65" s="18">
        <f>IF(A65="","",M65-N65)</f>
        <v/>
      </c>
      <c r="P65" s="17" t="n"/>
    </row>
    <row r="66">
      <c r="A66" s="17" t="n"/>
      <c r="B66" s="17" t="n"/>
      <c r="C66" s="17" t="n"/>
      <c r="D66" s="17" t="n"/>
      <c r="E66" s="17" t="n"/>
      <c r="F66" s="16" t="n"/>
      <c r="G66" s="17" t="n"/>
      <c r="H66" s="17">
        <f>IF(A66="","",COUNTIF(Leads!$P$2:$P$501,A66))</f>
        <v/>
      </c>
      <c r="I66" s="17">
        <f>IF(A66="","",COUNTIFS(Leads!$P$2:$P$501,A66,Leads!$I$2:$I$501,"Won",Leads!$N$2:$N$501,"&gt;="&amp;Settings!$B$7))</f>
        <v/>
      </c>
      <c r="J66" s="18">
        <f>IF(A66="","",SUMIF(Leads!$P$2:$P$501,A66,Leads!$Q$2:$Q$501))</f>
        <v/>
      </c>
      <c r="K66" s="18">
        <f>IF(A66="","",SUMIF(Leads!$P$2:$P$501,A66,Leads!$R$2:$R$501))</f>
        <v/>
      </c>
      <c r="L66" s="18">
        <f>IF(A66="","",IF(I66&gt;=3,Settings!$B$6,0))</f>
        <v/>
      </c>
      <c r="M66" s="18">
        <f>IF(A66="","",J66+L66)</f>
        <v/>
      </c>
      <c r="N66" s="18" t="n"/>
      <c r="O66" s="18">
        <f>IF(A66="","",M66-N66)</f>
        <v/>
      </c>
      <c r="P66" s="17" t="n"/>
    </row>
    <row r="67">
      <c r="A67" s="17" t="n"/>
      <c r="B67" s="17" t="n"/>
      <c r="C67" s="17" t="n"/>
      <c r="D67" s="17" t="n"/>
      <c r="E67" s="17" t="n"/>
      <c r="F67" s="16" t="n"/>
      <c r="G67" s="17" t="n"/>
      <c r="H67" s="17">
        <f>IF(A67="","",COUNTIF(Leads!$P$2:$P$501,A67))</f>
        <v/>
      </c>
      <c r="I67" s="17">
        <f>IF(A67="","",COUNTIFS(Leads!$P$2:$P$501,A67,Leads!$I$2:$I$501,"Won",Leads!$N$2:$N$501,"&gt;="&amp;Settings!$B$7))</f>
        <v/>
      </c>
      <c r="J67" s="18">
        <f>IF(A67="","",SUMIF(Leads!$P$2:$P$501,A67,Leads!$Q$2:$Q$501))</f>
        <v/>
      </c>
      <c r="K67" s="18">
        <f>IF(A67="","",SUMIF(Leads!$P$2:$P$501,A67,Leads!$R$2:$R$501))</f>
        <v/>
      </c>
      <c r="L67" s="18">
        <f>IF(A67="","",IF(I67&gt;=3,Settings!$B$6,0))</f>
        <v/>
      </c>
      <c r="M67" s="18">
        <f>IF(A67="","",J67+L67)</f>
        <v/>
      </c>
      <c r="N67" s="18" t="n"/>
      <c r="O67" s="18">
        <f>IF(A67="","",M67-N67)</f>
        <v/>
      </c>
      <c r="P67" s="17" t="n"/>
    </row>
    <row r="68">
      <c r="A68" s="17" t="n"/>
      <c r="B68" s="17" t="n"/>
      <c r="C68" s="17" t="n"/>
      <c r="D68" s="17" t="n"/>
      <c r="E68" s="17" t="n"/>
      <c r="F68" s="16" t="n"/>
      <c r="G68" s="17" t="n"/>
      <c r="H68" s="17">
        <f>IF(A68="","",COUNTIF(Leads!$P$2:$P$501,A68))</f>
        <v/>
      </c>
      <c r="I68" s="17">
        <f>IF(A68="","",COUNTIFS(Leads!$P$2:$P$501,A68,Leads!$I$2:$I$501,"Won",Leads!$N$2:$N$501,"&gt;="&amp;Settings!$B$7))</f>
        <v/>
      </c>
      <c r="J68" s="18">
        <f>IF(A68="","",SUMIF(Leads!$P$2:$P$501,A68,Leads!$Q$2:$Q$501))</f>
        <v/>
      </c>
      <c r="K68" s="18">
        <f>IF(A68="","",SUMIF(Leads!$P$2:$P$501,A68,Leads!$R$2:$R$501))</f>
        <v/>
      </c>
      <c r="L68" s="18">
        <f>IF(A68="","",IF(I68&gt;=3,Settings!$B$6,0))</f>
        <v/>
      </c>
      <c r="M68" s="18">
        <f>IF(A68="","",J68+L68)</f>
        <v/>
      </c>
      <c r="N68" s="18" t="n"/>
      <c r="O68" s="18">
        <f>IF(A68="","",M68-N68)</f>
        <v/>
      </c>
      <c r="P68" s="17" t="n"/>
    </row>
    <row r="69">
      <c r="A69" s="17" t="n"/>
      <c r="B69" s="17" t="n"/>
      <c r="C69" s="17" t="n"/>
      <c r="D69" s="17" t="n"/>
      <c r="E69" s="17" t="n"/>
      <c r="F69" s="16" t="n"/>
      <c r="G69" s="17" t="n"/>
      <c r="H69" s="17">
        <f>IF(A69="","",COUNTIF(Leads!$P$2:$P$501,A69))</f>
        <v/>
      </c>
      <c r="I69" s="17">
        <f>IF(A69="","",COUNTIFS(Leads!$P$2:$P$501,A69,Leads!$I$2:$I$501,"Won",Leads!$N$2:$N$501,"&gt;="&amp;Settings!$B$7))</f>
        <v/>
      </c>
      <c r="J69" s="18">
        <f>IF(A69="","",SUMIF(Leads!$P$2:$P$501,A69,Leads!$Q$2:$Q$501))</f>
        <v/>
      </c>
      <c r="K69" s="18">
        <f>IF(A69="","",SUMIF(Leads!$P$2:$P$501,A69,Leads!$R$2:$R$501))</f>
        <v/>
      </c>
      <c r="L69" s="18">
        <f>IF(A69="","",IF(I69&gt;=3,Settings!$B$6,0))</f>
        <v/>
      </c>
      <c r="M69" s="18">
        <f>IF(A69="","",J69+L69)</f>
        <v/>
      </c>
      <c r="N69" s="18" t="n"/>
      <c r="O69" s="18">
        <f>IF(A69="","",M69-N69)</f>
        <v/>
      </c>
      <c r="P69" s="17" t="n"/>
    </row>
    <row r="70">
      <c r="A70" s="17" t="n"/>
      <c r="B70" s="17" t="n"/>
      <c r="C70" s="17" t="n"/>
      <c r="D70" s="17" t="n"/>
      <c r="E70" s="17" t="n"/>
      <c r="F70" s="16" t="n"/>
      <c r="G70" s="17" t="n"/>
      <c r="H70" s="17">
        <f>IF(A70="","",COUNTIF(Leads!$P$2:$P$501,A70))</f>
        <v/>
      </c>
      <c r="I70" s="17">
        <f>IF(A70="","",COUNTIFS(Leads!$P$2:$P$501,A70,Leads!$I$2:$I$501,"Won",Leads!$N$2:$N$501,"&gt;="&amp;Settings!$B$7))</f>
        <v/>
      </c>
      <c r="J70" s="18">
        <f>IF(A70="","",SUMIF(Leads!$P$2:$P$501,A70,Leads!$Q$2:$Q$501))</f>
        <v/>
      </c>
      <c r="K70" s="18">
        <f>IF(A70="","",SUMIF(Leads!$P$2:$P$501,A70,Leads!$R$2:$R$501))</f>
        <v/>
      </c>
      <c r="L70" s="18">
        <f>IF(A70="","",IF(I70&gt;=3,Settings!$B$6,0))</f>
        <v/>
      </c>
      <c r="M70" s="18">
        <f>IF(A70="","",J70+L70)</f>
        <v/>
      </c>
      <c r="N70" s="18" t="n"/>
      <c r="O70" s="18">
        <f>IF(A70="","",M70-N70)</f>
        <v/>
      </c>
      <c r="P70" s="17" t="n"/>
    </row>
    <row r="71">
      <c r="A71" s="17" t="n"/>
      <c r="B71" s="17" t="n"/>
      <c r="C71" s="17" t="n"/>
      <c r="D71" s="17" t="n"/>
      <c r="E71" s="17" t="n"/>
      <c r="F71" s="16" t="n"/>
      <c r="G71" s="17" t="n"/>
      <c r="H71" s="17">
        <f>IF(A71="","",COUNTIF(Leads!$P$2:$P$501,A71))</f>
        <v/>
      </c>
      <c r="I71" s="17">
        <f>IF(A71="","",COUNTIFS(Leads!$P$2:$P$501,A71,Leads!$I$2:$I$501,"Won",Leads!$N$2:$N$501,"&gt;="&amp;Settings!$B$7))</f>
        <v/>
      </c>
      <c r="J71" s="18">
        <f>IF(A71="","",SUMIF(Leads!$P$2:$P$501,A71,Leads!$Q$2:$Q$501))</f>
        <v/>
      </c>
      <c r="K71" s="18">
        <f>IF(A71="","",SUMIF(Leads!$P$2:$P$501,A71,Leads!$R$2:$R$501))</f>
        <v/>
      </c>
      <c r="L71" s="18">
        <f>IF(A71="","",IF(I71&gt;=3,Settings!$B$6,0))</f>
        <v/>
      </c>
      <c r="M71" s="18">
        <f>IF(A71="","",J71+L71)</f>
        <v/>
      </c>
      <c r="N71" s="18" t="n"/>
      <c r="O71" s="18">
        <f>IF(A71="","",M71-N71)</f>
        <v/>
      </c>
      <c r="P71" s="17" t="n"/>
    </row>
    <row r="72">
      <c r="A72" s="17" t="n"/>
      <c r="B72" s="17" t="n"/>
      <c r="C72" s="17" t="n"/>
      <c r="D72" s="17" t="n"/>
      <c r="E72" s="17" t="n"/>
      <c r="F72" s="16" t="n"/>
      <c r="G72" s="17" t="n"/>
      <c r="H72" s="17">
        <f>IF(A72="","",COUNTIF(Leads!$P$2:$P$501,A72))</f>
        <v/>
      </c>
      <c r="I72" s="17">
        <f>IF(A72="","",COUNTIFS(Leads!$P$2:$P$501,A72,Leads!$I$2:$I$501,"Won",Leads!$N$2:$N$501,"&gt;="&amp;Settings!$B$7))</f>
        <v/>
      </c>
      <c r="J72" s="18">
        <f>IF(A72="","",SUMIF(Leads!$P$2:$P$501,A72,Leads!$Q$2:$Q$501))</f>
        <v/>
      </c>
      <c r="K72" s="18">
        <f>IF(A72="","",SUMIF(Leads!$P$2:$P$501,A72,Leads!$R$2:$R$501))</f>
        <v/>
      </c>
      <c r="L72" s="18">
        <f>IF(A72="","",IF(I72&gt;=3,Settings!$B$6,0))</f>
        <v/>
      </c>
      <c r="M72" s="18">
        <f>IF(A72="","",J72+L72)</f>
        <v/>
      </c>
      <c r="N72" s="18" t="n"/>
      <c r="O72" s="18">
        <f>IF(A72="","",M72-N72)</f>
        <v/>
      </c>
      <c r="P72" s="17" t="n"/>
    </row>
    <row r="73">
      <c r="A73" s="17" t="n"/>
      <c r="B73" s="17" t="n"/>
      <c r="C73" s="17" t="n"/>
      <c r="D73" s="17" t="n"/>
      <c r="E73" s="17" t="n"/>
      <c r="F73" s="16" t="n"/>
      <c r="G73" s="17" t="n"/>
      <c r="H73" s="17">
        <f>IF(A73="","",COUNTIF(Leads!$P$2:$P$501,A73))</f>
        <v/>
      </c>
      <c r="I73" s="17">
        <f>IF(A73="","",COUNTIFS(Leads!$P$2:$P$501,A73,Leads!$I$2:$I$501,"Won",Leads!$N$2:$N$501,"&gt;="&amp;Settings!$B$7))</f>
        <v/>
      </c>
      <c r="J73" s="18">
        <f>IF(A73="","",SUMIF(Leads!$P$2:$P$501,A73,Leads!$Q$2:$Q$501))</f>
        <v/>
      </c>
      <c r="K73" s="18">
        <f>IF(A73="","",SUMIF(Leads!$P$2:$P$501,A73,Leads!$R$2:$R$501))</f>
        <v/>
      </c>
      <c r="L73" s="18">
        <f>IF(A73="","",IF(I73&gt;=3,Settings!$B$6,0))</f>
        <v/>
      </c>
      <c r="M73" s="18">
        <f>IF(A73="","",J73+L73)</f>
        <v/>
      </c>
      <c r="N73" s="18" t="n"/>
      <c r="O73" s="18">
        <f>IF(A73="","",M73-N73)</f>
        <v/>
      </c>
      <c r="P73" s="17" t="n"/>
    </row>
    <row r="74">
      <c r="A74" s="17" t="n"/>
      <c r="B74" s="17" t="n"/>
      <c r="C74" s="17" t="n"/>
      <c r="D74" s="17" t="n"/>
      <c r="E74" s="17" t="n"/>
      <c r="F74" s="16" t="n"/>
      <c r="G74" s="17" t="n"/>
      <c r="H74" s="17">
        <f>IF(A74="","",COUNTIF(Leads!$P$2:$P$501,A74))</f>
        <v/>
      </c>
      <c r="I74" s="17">
        <f>IF(A74="","",COUNTIFS(Leads!$P$2:$P$501,A74,Leads!$I$2:$I$501,"Won",Leads!$N$2:$N$501,"&gt;="&amp;Settings!$B$7))</f>
        <v/>
      </c>
      <c r="J74" s="18">
        <f>IF(A74="","",SUMIF(Leads!$P$2:$P$501,A74,Leads!$Q$2:$Q$501))</f>
        <v/>
      </c>
      <c r="K74" s="18">
        <f>IF(A74="","",SUMIF(Leads!$P$2:$P$501,A74,Leads!$R$2:$R$501))</f>
        <v/>
      </c>
      <c r="L74" s="18">
        <f>IF(A74="","",IF(I74&gt;=3,Settings!$B$6,0))</f>
        <v/>
      </c>
      <c r="M74" s="18">
        <f>IF(A74="","",J74+L74)</f>
        <v/>
      </c>
      <c r="N74" s="18" t="n"/>
      <c r="O74" s="18">
        <f>IF(A74="","",M74-N74)</f>
        <v/>
      </c>
      <c r="P74" s="17" t="n"/>
    </row>
    <row r="75">
      <c r="A75" s="17" t="n"/>
      <c r="B75" s="17" t="n"/>
      <c r="C75" s="17" t="n"/>
      <c r="D75" s="17" t="n"/>
      <c r="E75" s="17" t="n"/>
      <c r="F75" s="16" t="n"/>
      <c r="G75" s="17" t="n"/>
      <c r="H75" s="17">
        <f>IF(A75="","",COUNTIF(Leads!$P$2:$P$501,A75))</f>
        <v/>
      </c>
      <c r="I75" s="17">
        <f>IF(A75="","",COUNTIFS(Leads!$P$2:$P$501,A75,Leads!$I$2:$I$501,"Won",Leads!$N$2:$N$501,"&gt;="&amp;Settings!$B$7))</f>
        <v/>
      </c>
      <c r="J75" s="18">
        <f>IF(A75="","",SUMIF(Leads!$P$2:$P$501,A75,Leads!$Q$2:$Q$501))</f>
        <v/>
      </c>
      <c r="K75" s="18">
        <f>IF(A75="","",SUMIF(Leads!$P$2:$P$501,A75,Leads!$R$2:$R$501))</f>
        <v/>
      </c>
      <c r="L75" s="18">
        <f>IF(A75="","",IF(I75&gt;=3,Settings!$B$6,0))</f>
        <v/>
      </c>
      <c r="M75" s="18">
        <f>IF(A75="","",J75+L75)</f>
        <v/>
      </c>
      <c r="N75" s="18" t="n"/>
      <c r="O75" s="18">
        <f>IF(A75="","",M75-N75)</f>
        <v/>
      </c>
      <c r="P75" s="17" t="n"/>
    </row>
    <row r="76">
      <c r="A76" s="17" t="n"/>
      <c r="B76" s="17" t="n"/>
      <c r="C76" s="17" t="n"/>
      <c r="D76" s="17" t="n"/>
      <c r="E76" s="17" t="n"/>
      <c r="F76" s="16" t="n"/>
      <c r="G76" s="17" t="n"/>
      <c r="H76" s="17">
        <f>IF(A76="","",COUNTIF(Leads!$P$2:$P$501,A76))</f>
        <v/>
      </c>
      <c r="I76" s="17">
        <f>IF(A76="","",COUNTIFS(Leads!$P$2:$P$501,A76,Leads!$I$2:$I$501,"Won",Leads!$N$2:$N$501,"&gt;="&amp;Settings!$B$7))</f>
        <v/>
      </c>
      <c r="J76" s="18">
        <f>IF(A76="","",SUMIF(Leads!$P$2:$P$501,A76,Leads!$Q$2:$Q$501))</f>
        <v/>
      </c>
      <c r="K76" s="18">
        <f>IF(A76="","",SUMIF(Leads!$P$2:$P$501,A76,Leads!$R$2:$R$501))</f>
        <v/>
      </c>
      <c r="L76" s="18">
        <f>IF(A76="","",IF(I76&gt;=3,Settings!$B$6,0))</f>
        <v/>
      </c>
      <c r="M76" s="18">
        <f>IF(A76="","",J76+L76)</f>
        <v/>
      </c>
      <c r="N76" s="18" t="n"/>
      <c r="O76" s="18">
        <f>IF(A76="","",M76-N76)</f>
        <v/>
      </c>
      <c r="P76" s="17" t="n"/>
    </row>
    <row r="77">
      <c r="A77" s="17" t="n"/>
      <c r="B77" s="17" t="n"/>
      <c r="C77" s="17" t="n"/>
      <c r="D77" s="17" t="n"/>
      <c r="E77" s="17" t="n"/>
      <c r="F77" s="16" t="n"/>
      <c r="G77" s="17" t="n"/>
      <c r="H77" s="17">
        <f>IF(A77="","",COUNTIF(Leads!$P$2:$P$501,A77))</f>
        <v/>
      </c>
      <c r="I77" s="17">
        <f>IF(A77="","",COUNTIFS(Leads!$P$2:$P$501,A77,Leads!$I$2:$I$501,"Won",Leads!$N$2:$N$501,"&gt;="&amp;Settings!$B$7))</f>
        <v/>
      </c>
      <c r="J77" s="18">
        <f>IF(A77="","",SUMIF(Leads!$P$2:$P$501,A77,Leads!$Q$2:$Q$501))</f>
        <v/>
      </c>
      <c r="K77" s="18">
        <f>IF(A77="","",SUMIF(Leads!$P$2:$P$501,A77,Leads!$R$2:$R$501))</f>
        <v/>
      </c>
      <c r="L77" s="18">
        <f>IF(A77="","",IF(I77&gt;=3,Settings!$B$6,0))</f>
        <v/>
      </c>
      <c r="M77" s="18">
        <f>IF(A77="","",J77+L77)</f>
        <v/>
      </c>
      <c r="N77" s="18" t="n"/>
      <c r="O77" s="18">
        <f>IF(A77="","",M77-N77)</f>
        <v/>
      </c>
      <c r="P77" s="17" t="n"/>
    </row>
    <row r="78">
      <c r="A78" s="17" t="n"/>
      <c r="B78" s="17" t="n"/>
      <c r="C78" s="17" t="n"/>
      <c r="D78" s="17" t="n"/>
      <c r="E78" s="17" t="n"/>
      <c r="F78" s="16" t="n"/>
      <c r="G78" s="17" t="n"/>
      <c r="H78" s="17">
        <f>IF(A78="","",COUNTIF(Leads!$P$2:$P$501,A78))</f>
        <v/>
      </c>
      <c r="I78" s="17">
        <f>IF(A78="","",COUNTIFS(Leads!$P$2:$P$501,A78,Leads!$I$2:$I$501,"Won",Leads!$N$2:$N$501,"&gt;="&amp;Settings!$B$7))</f>
        <v/>
      </c>
      <c r="J78" s="18">
        <f>IF(A78="","",SUMIF(Leads!$P$2:$P$501,A78,Leads!$Q$2:$Q$501))</f>
        <v/>
      </c>
      <c r="K78" s="18">
        <f>IF(A78="","",SUMIF(Leads!$P$2:$P$501,A78,Leads!$R$2:$R$501))</f>
        <v/>
      </c>
      <c r="L78" s="18">
        <f>IF(A78="","",IF(I78&gt;=3,Settings!$B$6,0))</f>
        <v/>
      </c>
      <c r="M78" s="18">
        <f>IF(A78="","",J78+L78)</f>
        <v/>
      </c>
      <c r="N78" s="18" t="n"/>
      <c r="O78" s="18">
        <f>IF(A78="","",M78-N78)</f>
        <v/>
      </c>
      <c r="P78" s="17" t="n"/>
    </row>
    <row r="79">
      <c r="A79" s="17" t="n"/>
      <c r="B79" s="17" t="n"/>
      <c r="C79" s="17" t="n"/>
      <c r="D79" s="17" t="n"/>
      <c r="E79" s="17" t="n"/>
      <c r="F79" s="16" t="n"/>
      <c r="G79" s="17" t="n"/>
      <c r="H79" s="17">
        <f>IF(A79="","",COUNTIF(Leads!$P$2:$P$501,A79))</f>
        <v/>
      </c>
      <c r="I79" s="17">
        <f>IF(A79="","",COUNTIFS(Leads!$P$2:$P$501,A79,Leads!$I$2:$I$501,"Won",Leads!$N$2:$N$501,"&gt;="&amp;Settings!$B$7))</f>
        <v/>
      </c>
      <c r="J79" s="18">
        <f>IF(A79="","",SUMIF(Leads!$P$2:$P$501,A79,Leads!$Q$2:$Q$501))</f>
        <v/>
      </c>
      <c r="K79" s="18">
        <f>IF(A79="","",SUMIF(Leads!$P$2:$P$501,A79,Leads!$R$2:$R$501))</f>
        <v/>
      </c>
      <c r="L79" s="18">
        <f>IF(A79="","",IF(I79&gt;=3,Settings!$B$6,0))</f>
        <v/>
      </c>
      <c r="M79" s="18">
        <f>IF(A79="","",J79+L79)</f>
        <v/>
      </c>
      <c r="N79" s="18" t="n"/>
      <c r="O79" s="18">
        <f>IF(A79="","",M79-N79)</f>
        <v/>
      </c>
      <c r="P79" s="17" t="n"/>
    </row>
    <row r="80">
      <c r="A80" s="17" t="n"/>
      <c r="B80" s="17" t="n"/>
      <c r="C80" s="17" t="n"/>
      <c r="D80" s="17" t="n"/>
      <c r="E80" s="17" t="n"/>
      <c r="F80" s="16" t="n"/>
      <c r="G80" s="17" t="n"/>
      <c r="H80" s="17">
        <f>IF(A80="","",COUNTIF(Leads!$P$2:$P$501,A80))</f>
        <v/>
      </c>
      <c r="I80" s="17">
        <f>IF(A80="","",COUNTIFS(Leads!$P$2:$P$501,A80,Leads!$I$2:$I$501,"Won",Leads!$N$2:$N$501,"&gt;="&amp;Settings!$B$7))</f>
        <v/>
      </c>
      <c r="J80" s="18">
        <f>IF(A80="","",SUMIF(Leads!$P$2:$P$501,A80,Leads!$Q$2:$Q$501))</f>
        <v/>
      </c>
      <c r="K80" s="18">
        <f>IF(A80="","",SUMIF(Leads!$P$2:$P$501,A80,Leads!$R$2:$R$501))</f>
        <v/>
      </c>
      <c r="L80" s="18">
        <f>IF(A80="","",IF(I80&gt;=3,Settings!$B$6,0))</f>
        <v/>
      </c>
      <c r="M80" s="18">
        <f>IF(A80="","",J80+L80)</f>
        <v/>
      </c>
      <c r="N80" s="18" t="n"/>
      <c r="O80" s="18">
        <f>IF(A80="","",M80-N80)</f>
        <v/>
      </c>
      <c r="P80" s="17" t="n"/>
    </row>
    <row r="81">
      <c r="A81" s="17" t="n"/>
      <c r="B81" s="17" t="n"/>
      <c r="C81" s="17" t="n"/>
      <c r="D81" s="17" t="n"/>
      <c r="E81" s="17" t="n"/>
      <c r="F81" s="16" t="n"/>
      <c r="G81" s="17" t="n"/>
      <c r="H81" s="17">
        <f>IF(A81="","",COUNTIF(Leads!$P$2:$P$501,A81))</f>
        <v/>
      </c>
      <c r="I81" s="17">
        <f>IF(A81="","",COUNTIFS(Leads!$P$2:$P$501,A81,Leads!$I$2:$I$501,"Won",Leads!$N$2:$N$501,"&gt;="&amp;Settings!$B$7))</f>
        <v/>
      </c>
      <c r="J81" s="18">
        <f>IF(A81="","",SUMIF(Leads!$P$2:$P$501,A81,Leads!$Q$2:$Q$501))</f>
        <v/>
      </c>
      <c r="K81" s="18">
        <f>IF(A81="","",SUMIF(Leads!$P$2:$P$501,A81,Leads!$R$2:$R$501))</f>
        <v/>
      </c>
      <c r="L81" s="18">
        <f>IF(A81="","",IF(I81&gt;=3,Settings!$B$6,0))</f>
        <v/>
      </c>
      <c r="M81" s="18">
        <f>IF(A81="","",J81+L81)</f>
        <v/>
      </c>
      <c r="N81" s="18" t="n"/>
      <c r="O81" s="18">
        <f>IF(A81="","",M81-N81)</f>
        <v/>
      </c>
      <c r="P81" s="17" t="n"/>
    </row>
    <row r="82">
      <c r="A82" s="17" t="n"/>
      <c r="B82" s="17" t="n"/>
      <c r="C82" s="17" t="n"/>
      <c r="D82" s="17" t="n"/>
      <c r="E82" s="17" t="n"/>
      <c r="F82" s="16" t="n"/>
      <c r="G82" s="17" t="n"/>
      <c r="H82" s="17">
        <f>IF(A82="","",COUNTIF(Leads!$P$2:$P$501,A82))</f>
        <v/>
      </c>
      <c r="I82" s="17">
        <f>IF(A82="","",COUNTIFS(Leads!$P$2:$P$501,A82,Leads!$I$2:$I$501,"Won",Leads!$N$2:$N$501,"&gt;="&amp;Settings!$B$7))</f>
        <v/>
      </c>
      <c r="J82" s="18">
        <f>IF(A82="","",SUMIF(Leads!$P$2:$P$501,A82,Leads!$Q$2:$Q$501))</f>
        <v/>
      </c>
      <c r="K82" s="18">
        <f>IF(A82="","",SUMIF(Leads!$P$2:$P$501,A82,Leads!$R$2:$R$501))</f>
        <v/>
      </c>
      <c r="L82" s="18">
        <f>IF(A82="","",IF(I82&gt;=3,Settings!$B$6,0))</f>
        <v/>
      </c>
      <c r="M82" s="18">
        <f>IF(A82="","",J82+L82)</f>
        <v/>
      </c>
      <c r="N82" s="18" t="n"/>
      <c r="O82" s="18">
        <f>IF(A82="","",M82-N82)</f>
        <v/>
      </c>
      <c r="P82" s="17" t="n"/>
    </row>
    <row r="83">
      <c r="A83" s="17" t="n"/>
      <c r="B83" s="17" t="n"/>
      <c r="C83" s="17" t="n"/>
      <c r="D83" s="17" t="n"/>
      <c r="E83" s="17" t="n"/>
      <c r="F83" s="16" t="n"/>
      <c r="G83" s="17" t="n"/>
      <c r="H83" s="17">
        <f>IF(A83="","",COUNTIF(Leads!$P$2:$P$501,A83))</f>
        <v/>
      </c>
      <c r="I83" s="17">
        <f>IF(A83="","",COUNTIFS(Leads!$P$2:$P$501,A83,Leads!$I$2:$I$501,"Won",Leads!$N$2:$N$501,"&gt;="&amp;Settings!$B$7))</f>
        <v/>
      </c>
      <c r="J83" s="18">
        <f>IF(A83="","",SUMIF(Leads!$P$2:$P$501,A83,Leads!$Q$2:$Q$501))</f>
        <v/>
      </c>
      <c r="K83" s="18">
        <f>IF(A83="","",SUMIF(Leads!$P$2:$P$501,A83,Leads!$R$2:$R$501))</f>
        <v/>
      </c>
      <c r="L83" s="18">
        <f>IF(A83="","",IF(I83&gt;=3,Settings!$B$6,0))</f>
        <v/>
      </c>
      <c r="M83" s="18">
        <f>IF(A83="","",J83+L83)</f>
        <v/>
      </c>
      <c r="N83" s="18" t="n"/>
      <c r="O83" s="18">
        <f>IF(A83="","",M83-N83)</f>
        <v/>
      </c>
      <c r="P83" s="17" t="n"/>
    </row>
    <row r="84">
      <c r="A84" s="17" t="n"/>
      <c r="B84" s="17" t="n"/>
      <c r="C84" s="17" t="n"/>
      <c r="D84" s="17" t="n"/>
      <c r="E84" s="17" t="n"/>
      <c r="F84" s="16" t="n"/>
      <c r="G84" s="17" t="n"/>
      <c r="H84" s="17">
        <f>IF(A84="","",COUNTIF(Leads!$P$2:$P$501,A84))</f>
        <v/>
      </c>
      <c r="I84" s="17">
        <f>IF(A84="","",COUNTIFS(Leads!$P$2:$P$501,A84,Leads!$I$2:$I$501,"Won",Leads!$N$2:$N$501,"&gt;="&amp;Settings!$B$7))</f>
        <v/>
      </c>
      <c r="J84" s="18">
        <f>IF(A84="","",SUMIF(Leads!$P$2:$P$501,A84,Leads!$Q$2:$Q$501))</f>
        <v/>
      </c>
      <c r="K84" s="18">
        <f>IF(A84="","",SUMIF(Leads!$P$2:$P$501,A84,Leads!$R$2:$R$501))</f>
        <v/>
      </c>
      <c r="L84" s="18">
        <f>IF(A84="","",IF(I84&gt;=3,Settings!$B$6,0))</f>
        <v/>
      </c>
      <c r="M84" s="18">
        <f>IF(A84="","",J84+L84)</f>
        <v/>
      </c>
      <c r="N84" s="18" t="n"/>
      <c r="O84" s="18">
        <f>IF(A84="","",M84-N84)</f>
        <v/>
      </c>
      <c r="P84" s="17" t="n"/>
    </row>
    <row r="85">
      <c r="A85" s="17" t="n"/>
      <c r="B85" s="17" t="n"/>
      <c r="C85" s="17" t="n"/>
      <c r="D85" s="17" t="n"/>
      <c r="E85" s="17" t="n"/>
      <c r="F85" s="16" t="n"/>
      <c r="G85" s="17" t="n"/>
      <c r="H85" s="17">
        <f>IF(A85="","",COUNTIF(Leads!$P$2:$P$501,A85))</f>
        <v/>
      </c>
      <c r="I85" s="17">
        <f>IF(A85="","",COUNTIFS(Leads!$P$2:$P$501,A85,Leads!$I$2:$I$501,"Won",Leads!$N$2:$N$501,"&gt;="&amp;Settings!$B$7))</f>
        <v/>
      </c>
      <c r="J85" s="18">
        <f>IF(A85="","",SUMIF(Leads!$P$2:$P$501,A85,Leads!$Q$2:$Q$501))</f>
        <v/>
      </c>
      <c r="K85" s="18">
        <f>IF(A85="","",SUMIF(Leads!$P$2:$P$501,A85,Leads!$R$2:$R$501))</f>
        <v/>
      </c>
      <c r="L85" s="18">
        <f>IF(A85="","",IF(I85&gt;=3,Settings!$B$6,0))</f>
        <v/>
      </c>
      <c r="M85" s="18">
        <f>IF(A85="","",J85+L85)</f>
        <v/>
      </c>
      <c r="N85" s="18" t="n"/>
      <c r="O85" s="18">
        <f>IF(A85="","",M85-N85)</f>
        <v/>
      </c>
      <c r="P85" s="17" t="n"/>
    </row>
    <row r="86">
      <c r="A86" s="17" t="n"/>
      <c r="B86" s="17" t="n"/>
      <c r="C86" s="17" t="n"/>
      <c r="D86" s="17" t="n"/>
      <c r="E86" s="17" t="n"/>
      <c r="F86" s="16" t="n"/>
      <c r="G86" s="17" t="n"/>
      <c r="H86" s="17">
        <f>IF(A86="","",COUNTIF(Leads!$P$2:$P$501,A86))</f>
        <v/>
      </c>
      <c r="I86" s="17">
        <f>IF(A86="","",COUNTIFS(Leads!$P$2:$P$501,A86,Leads!$I$2:$I$501,"Won",Leads!$N$2:$N$501,"&gt;="&amp;Settings!$B$7))</f>
        <v/>
      </c>
      <c r="J86" s="18">
        <f>IF(A86="","",SUMIF(Leads!$P$2:$P$501,A86,Leads!$Q$2:$Q$501))</f>
        <v/>
      </c>
      <c r="K86" s="18">
        <f>IF(A86="","",SUMIF(Leads!$P$2:$P$501,A86,Leads!$R$2:$R$501))</f>
        <v/>
      </c>
      <c r="L86" s="18">
        <f>IF(A86="","",IF(I86&gt;=3,Settings!$B$6,0))</f>
        <v/>
      </c>
      <c r="M86" s="18">
        <f>IF(A86="","",J86+L86)</f>
        <v/>
      </c>
      <c r="N86" s="18" t="n"/>
      <c r="O86" s="18">
        <f>IF(A86="","",M86-N86)</f>
        <v/>
      </c>
      <c r="P86" s="17" t="n"/>
    </row>
    <row r="87">
      <c r="A87" s="17" t="n"/>
      <c r="B87" s="17" t="n"/>
      <c r="C87" s="17" t="n"/>
      <c r="D87" s="17" t="n"/>
      <c r="E87" s="17" t="n"/>
      <c r="F87" s="16" t="n"/>
      <c r="G87" s="17" t="n"/>
      <c r="H87" s="17">
        <f>IF(A87="","",COUNTIF(Leads!$P$2:$P$501,A87))</f>
        <v/>
      </c>
      <c r="I87" s="17">
        <f>IF(A87="","",COUNTIFS(Leads!$P$2:$P$501,A87,Leads!$I$2:$I$501,"Won",Leads!$N$2:$N$501,"&gt;="&amp;Settings!$B$7))</f>
        <v/>
      </c>
      <c r="J87" s="18">
        <f>IF(A87="","",SUMIF(Leads!$P$2:$P$501,A87,Leads!$Q$2:$Q$501))</f>
        <v/>
      </c>
      <c r="K87" s="18">
        <f>IF(A87="","",SUMIF(Leads!$P$2:$P$501,A87,Leads!$R$2:$R$501))</f>
        <v/>
      </c>
      <c r="L87" s="18">
        <f>IF(A87="","",IF(I87&gt;=3,Settings!$B$6,0))</f>
        <v/>
      </c>
      <c r="M87" s="18">
        <f>IF(A87="","",J87+L87)</f>
        <v/>
      </c>
      <c r="N87" s="18" t="n"/>
      <c r="O87" s="18">
        <f>IF(A87="","",M87-N87)</f>
        <v/>
      </c>
      <c r="P87" s="17" t="n"/>
    </row>
    <row r="88">
      <c r="A88" s="17" t="n"/>
      <c r="B88" s="17" t="n"/>
      <c r="C88" s="17" t="n"/>
      <c r="D88" s="17" t="n"/>
      <c r="E88" s="17" t="n"/>
      <c r="F88" s="16" t="n"/>
      <c r="G88" s="17" t="n"/>
      <c r="H88" s="17">
        <f>IF(A88="","",COUNTIF(Leads!$P$2:$P$501,A88))</f>
        <v/>
      </c>
      <c r="I88" s="17">
        <f>IF(A88="","",COUNTIFS(Leads!$P$2:$P$501,A88,Leads!$I$2:$I$501,"Won",Leads!$N$2:$N$501,"&gt;="&amp;Settings!$B$7))</f>
        <v/>
      </c>
      <c r="J88" s="18">
        <f>IF(A88="","",SUMIF(Leads!$P$2:$P$501,A88,Leads!$Q$2:$Q$501))</f>
        <v/>
      </c>
      <c r="K88" s="18">
        <f>IF(A88="","",SUMIF(Leads!$P$2:$P$501,A88,Leads!$R$2:$R$501))</f>
        <v/>
      </c>
      <c r="L88" s="18">
        <f>IF(A88="","",IF(I88&gt;=3,Settings!$B$6,0))</f>
        <v/>
      </c>
      <c r="M88" s="18">
        <f>IF(A88="","",J88+L88)</f>
        <v/>
      </c>
      <c r="N88" s="18" t="n"/>
      <c r="O88" s="18">
        <f>IF(A88="","",M88-N88)</f>
        <v/>
      </c>
      <c r="P88" s="17" t="n"/>
    </row>
    <row r="89">
      <c r="A89" s="17" t="n"/>
      <c r="B89" s="17" t="n"/>
      <c r="C89" s="17" t="n"/>
      <c r="D89" s="17" t="n"/>
      <c r="E89" s="17" t="n"/>
      <c r="F89" s="16" t="n"/>
      <c r="G89" s="17" t="n"/>
      <c r="H89" s="17">
        <f>IF(A89="","",COUNTIF(Leads!$P$2:$P$501,A89))</f>
        <v/>
      </c>
      <c r="I89" s="17">
        <f>IF(A89="","",COUNTIFS(Leads!$P$2:$P$501,A89,Leads!$I$2:$I$501,"Won",Leads!$N$2:$N$501,"&gt;="&amp;Settings!$B$7))</f>
        <v/>
      </c>
      <c r="J89" s="18">
        <f>IF(A89="","",SUMIF(Leads!$P$2:$P$501,A89,Leads!$Q$2:$Q$501))</f>
        <v/>
      </c>
      <c r="K89" s="18">
        <f>IF(A89="","",SUMIF(Leads!$P$2:$P$501,A89,Leads!$R$2:$R$501))</f>
        <v/>
      </c>
      <c r="L89" s="18">
        <f>IF(A89="","",IF(I89&gt;=3,Settings!$B$6,0))</f>
        <v/>
      </c>
      <c r="M89" s="18">
        <f>IF(A89="","",J89+L89)</f>
        <v/>
      </c>
      <c r="N89" s="18" t="n"/>
      <c r="O89" s="18">
        <f>IF(A89="","",M89-N89)</f>
        <v/>
      </c>
      <c r="P89" s="17" t="n"/>
    </row>
    <row r="90">
      <c r="A90" s="17" t="n"/>
      <c r="B90" s="17" t="n"/>
      <c r="C90" s="17" t="n"/>
      <c r="D90" s="17" t="n"/>
      <c r="E90" s="17" t="n"/>
      <c r="F90" s="16" t="n"/>
      <c r="G90" s="17" t="n"/>
      <c r="H90" s="17">
        <f>IF(A90="","",COUNTIF(Leads!$P$2:$P$501,A90))</f>
        <v/>
      </c>
      <c r="I90" s="17">
        <f>IF(A90="","",COUNTIFS(Leads!$P$2:$P$501,A90,Leads!$I$2:$I$501,"Won",Leads!$N$2:$N$501,"&gt;="&amp;Settings!$B$7))</f>
        <v/>
      </c>
      <c r="J90" s="18">
        <f>IF(A90="","",SUMIF(Leads!$P$2:$P$501,A90,Leads!$Q$2:$Q$501))</f>
        <v/>
      </c>
      <c r="K90" s="18">
        <f>IF(A90="","",SUMIF(Leads!$P$2:$P$501,A90,Leads!$R$2:$R$501))</f>
        <v/>
      </c>
      <c r="L90" s="18">
        <f>IF(A90="","",IF(I90&gt;=3,Settings!$B$6,0))</f>
        <v/>
      </c>
      <c r="M90" s="18">
        <f>IF(A90="","",J90+L90)</f>
        <v/>
      </c>
      <c r="N90" s="18" t="n"/>
      <c r="O90" s="18">
        <f>IF(A90="","",M90-N90)</f>
        <v/>
      </c>
      <c r="P90" s="17" t="n"/>
    </row>
    <row r="91">
      <c r="A91" s="17" t="n"/>
      <c r="B91" s="17" t="n"/>
      <c r="C91" s="17" t="n"/>
      <c r="D91" s="17" t="n"/>
      <c r="E91" s="17" t="n"/>
      <c r="F91" s="16" t="n"/>
      <c r="G91" s="17" t="n"/>
      <c r="H91" s="17">
        <f>IF(A91="","",COUNTIF(Leads!$P$2:$P$501,A91))</f>
        <v/>
      </c>
      <c r="I91" s="17">
        <f>IF(A91="","",COUNTIFS(Leads!$P$2:$P$501,A91,Leads!$I$2:$I$501,"Won",Leads!$N$2:$N$501,"&gt;="&amp;Settings!$B$7))</f>
        <v/>
      </c>
      <c r="J91" s="18">
        <f>IF(A91="","",SUMIF(Leads!$P$2:$P$501,A91,Leads!$Q$2:$Q$501))</f>
        <v/>
      </c>
      <c r="K91" s="18">
        <f>IF(A91="","",SUMIF(Leads!$P$2:$P$501,A91,Leads!$R$2:$R$501))</f>
        <v/>
      </c>
      <c r="L91" s="18">
        <f>IF(A91="","",IF(I91&gt;=3,Settings!$B$6,0))</f>
        <v/>
      </c>
      <c r="M91" s="18">
        <f>IF(A91="","",J91+L91)</f>
        <v/>
      </c>
      <c r="N91" s="18" t="n"/>
      <c r="O91" s="18">
        <f>IF(A91="","",M91-N91)</f>
        <v/>
      </c>
      <c r="P91" s="17" t="n"/>
    </row>
    <row r="92">
      <c r="A92" s="17" t="n"/>
      <c r="B92" s="17" t="n"/>
      <c r="C92" s="17" t="n"/>
      <c r="D92" s="17" t="n"/>
      <c r="E92" s="17" t="n"/>
      <c r="F92" s="16" t="n"/>
      <c r="G92" s="17" t="n"/>
      <c r="H92" s="17">
        <f>IF(A92="","",COUNTIF(Leads!$P$2:$P$501,A92))</f>
        <v/>
      </c>
      <c r="I92" s="17">
        <f>IF(A92="","",COUNTIFS(Leads!$P$2:$P$501,A92,Leads!$I$2:$I$501,"Won",Leads!$N$2:$N$501,"&gt;="&amp;Settings!$B$7))</f>
        <v/>
      </c>
      <c r="J92" s="18">
        <f>IF(A92="","",SUMIF(Leads!$P$2:$P$501,A92,Leads!$Q$2:$Q$501))</f>
        <v/>
      </c>
      <c r="K92" s="18">
        <f>IF(A92="","",SUMIF(Leads!$P$2:$P$501,A92,Leads!$R$2:$R$501))</f>
        <v/>
      </c>
      <c r="L92" s="18">
        <f>IF(A92="","",IF(I92&gt;=3,Settings!$B$6,0))</f>
        <v/>
      </c>
      <c r="M92" s="18">
        <f>IF(A92="","",J92+L92)</f>
        <v/>
      </c>
      <c r="N92" s="18" t="n"/>
      <c r="O92" s="18">
        <f>IF(A92="","",M92-N92)</f>
        <v/>
      </c>
      <c r="P92" s="17" t="n"/>
    </row>
    <row r="93">
      <c r="A93" s="17" t="n"/>
      <c r="B93" s="17" t="n"/>
      <c r="C93" s="17" t="n"/>
      <c r="D93" s="17" t="n"/>
      <c r="E93" s="17" t="n"/>
      <c r="F93" s="16" t="n"/>
      <c r="G93" s="17" t="n"/>
      <c r="H93" s="17">
        <f>IF(A93="","",COUNTIF(Leads!$P$2:$P$501,A93))</f>
        <v/>
      </c>
      <c r="I93" s="17">
        <f>IF(A93="","",COUNTIFS(Leads!$P$2:$P$501,A93,Leads!$I$2:$I$501,"Won",Leads!$N$2:$N$501,"&gt;="&amp;Settings!$B$7))</f>
        <v/>
      </c>
      <c r="J93" s="18">
        <f>IF(A93="","",SUMIF(Leads!$P$2:$P$501,A93,Leads!$Q$2:$Q$501))</f>
        <v/>
      </c>
      <c r="K93" s="18">
        <f>IF(A93="","",SUMIF(Leads!$P$2:$P$501,A93,Leads!$R$2:$R$501))</f>
        <v/>
      </c>
      <c r="L93" s="18">
        <f>IF(A93="","",IF(I93&gt;=3,Settings!$B$6,0))</f>
        <v/>
      </c>
      <c r="M93" s="18">
        <f>IF(A93="","",J93+L93)</f>
        <v/>
      </c>
      <c r="N93" s="18" t="n"/>
      <c r="O93" s="18">
        <f>IF(A93="","",M93-N93)</f>
        <v/>
      </c>
      <c r="P93" s="17" t="n"/>
    </row>
    <row r="94">
      <c r="A94" s="17" t="n"/>
      <c r="B94" s="17" t="n"/>
      <c r="C94" s="17" t="n"/>
      <c r="D94" s="17" t="n"/>
      <c r="E94" s="17" t="n"/>
      <c r="F94" s="16" t="n"/>
      <c r="G94" s="17" t="n"/>
      <c r="H94" s="17">
        <f>IF(A94="","",COUNTIF(Leads!$P$2:$P$501,A94))</f>
        <v/>
      </c>
      <c r="I94" s="17">
        <f>IF(A94="","",COUNTIFS(Leads!$P$2:$P$501,A94,Leads!$I$2:$I$501,"Won",Leads!$N$2:$N$501,"&gt;="&amp;Settings!$B$7))</f>
        <v/>
      </c>
      <c r="J94" s="18">
        <f>IF(A94="","",SUMIF(Leads!$P$2:$P$501,A94,Leads!$Q$2:$Q$501))</f>
        <v/>
      </c>
      <c r="K94" s="18">
        <f>IF(A94="","",SUMIF(Leads!$P$2:$P$501,A94,Leads!$R$2:$R$501))</f>
        <v/>
      </c>
      <c r="L94" s="18">
        <f>IF(A94="","",IF(I94&gt;=3,Settings!$B$6,0))</f>
        <v/>
      </c>
      <c r="M94" s="18">
        <f>IF(A94="","",J94+L94)</f>
        <v/>
      </c>
      <c r="N94" s="18" t="n"/>
      <c r="O94" s="18">
        <f>IF(A94="","",M94-N94)</f>
        <v/>
      </c>
      <c r="P94" s="17" t="n"/>
    </row>
    <row r="95">
      <c r="A95" s="17" t="n"/>
      <c r="B95" s="17" t="n"/>
      <c r="C95" s="17" t="n"/>
      <c r="D95" s="17" t="n"/>
      <c r="E95" s="17" t="n"/>
      <c r="F95" s="16" t="n"/>
      <c r="G95" s="17" t="n"/>
      <c r="H95" s="17">
        <f>IF(A95="","",COUNTIF(Leads!$P$2:$P$501,A95))</f>
        <v/>
      </c>
      <c r="I95" s="17">
        <f>IF(A95="","",COUNTIFS(Leads!$P$2:$P$501,A95,Leads!$I$2:$I$501,"Won",Leads!$N$2:$N$501,"&gt;="&amp;Settings!$B$7))</f>
        <v/>
      </c>
      <c r="J95" s="18">
        <f>IF(A95="","",SUMIF(Leads!$P$2:$P$501,A95,Leads!$Q$2:$Q$501))</f>
        <v/>
      </c>
      <c r="K95" s="18">
        <f>IF(A95="","",SUMIF(Leads!$P$2:$P$501,A95,Leads!$R$2:$R$501))</f>
        <v/>
      </c>
      <c r="L95" s="18">
        <f>IF(A95="","",IF(I95&gt;=3,Settings!$B$6,0))</f>
        <v/>
      </c>
      <c r="M95" s="18">
        <f>IF(A95="","",J95+L95)</f>
        <v/>
      </c>
      <c r="N95" s="18" t="n"/>
      <c r="O95" s="18">
        <f>IF(A95="","",M95-N95)</f>
        <v/>
      </c>
      <c r="P95" s="17" t="n"/>
    </row>
    <row r="96">
      <c r="A96" s="17" t="n"/>
      <c r="B96" s="17" t="n"/>
      <c r="C96" s="17" t="n"/>
      <c r="D96" s="17" t="n"/>
      <c r="E96" s="17" t="n"/>
      <c r="F96" s="16" t="n"/>
      <c r="G96" s="17" t="n"/>
      <c r="H96" s="17">
        <f>IF(A96="","",COUNTIF(Leads!$P$2:$P$501,A96))</f>
        <v/>
      </c>
      <c r="I96" s="17">
        <f>IF(A96="","",COUNTIFS(Leads!$P$2:$P$501,A96,Leads!$I$2:$I$501,"Won",Leads!$N$2:$N$501,"&gt;="&amp;Settings!$B$7))</f>
        <v/>
      </c>
      <c r="J96" s="18">
        <f>IF(A96="","",SUMIF(Leads!$P$2:$P$501,A96,Leads!$Q$2:$Q$501))</f>
        <v/>
      </c>
      <c r="K96" s="18">
        <f>IF(A96="","",SUMIF(Leads!$P$2:$P$501,A96,Leads!$R$2:$R$501))</f>
        <v/>
      </c>
      <c r="L96" s="18">
        <f>IF(A96="","",IF(I96&gt;=3,Settings!$B$6,0))</f>
        <v/>
      </c>
      <c r="M96" s="18">
        <f>IF(A96="","",J96+L96)</f>
        <v/>
      </c>
      <c r="N96" s="18" t="n"/>
      <c r="O96" s="18">
        <f>IF(A96="","",M96-N96)</f>
        <v/>
      </c>
      <c r="P96" s="17" t="n"/>
    </row>
    <row r="97">
      <c r="A97" s="17" t="n"/>
      <c r="B97" s="17" t="n"/>
      <c r="C97" s="17" t="n"/>
      <c r="D97" s="17" t="n"/>
      <c r="E97" s="17" t="n"/>
      <c r="F97" s="16" t="n"/>
      <c r="G97" s="17" t="n"/>
      <c r="H97" s="17">
        <f>IF(A97="","",COUNTIF(Leads!$P$2:$P$501,A97))</f>
        <v/>
      </c>
      <c r="I97" s="17">
        <f>IF(A97="","",COUNTIFS(Leads!$P$2:$P$501,A97,Leads!$I$2:$I$501,"Won",Leads!$N$2:$N$501,"&gt;="&amp;Settings!$B$7))</f>
        <v/>
      </c>
      <c r="J97" s="18">
        <f>IF(A97="","",SUMIF(Leads!$P$2:$P$501,A97,Leads!$Q$2:$Q$501))</f>
        <v/>
      </c>
      <c r="K97" s="18">
        <f>IF(A97="","",SUMIF(Leads!$P$2:$P$501,A97,Leads!$R$2:$R$501))</f>
        <v/>
      </c>
      <c r="L97" s="18">
        <f>IF(A97="","",IF(I97&gt;=3,Settings!$B$6,0))</f>
        <v/>
      </c>
      <c r="M97" s="18">
        <f>IF(A97="","",J97+L97)</f>
        <v/>
      </c>
      <c r="N97" s="18" t="n"/>
      <c r="O97" s="18">
        <f>IF(A97="","",M97-N97)</f>
        <v/>
      </c>
      <c r="P97" s="17" t="n"/>
    </row>
    <row r="98">
      <c r="A98" s="17" t="n"/>
      <c r="B98" s="17" t="n"/>
      <c r="C98" s="17" t="n"/>
      <c r="D98" s="17" t="n"/>
      <c r="E98" s="17" t="n"/>
      <c r="F98" s="16" t="n"/>
      <c r="G98" s="17" t="n"/>
      <c r="H98" s="17">
        <f>IF(A98="","",COUNTIF(Leads!$P$2:$P$501,A98))</f>
        <v/>
      </c>
      <c r="I98" s="17">
        <f>IF(A98="","",COUNTIFS(Leads!$P$2:$P$501,A98,Leads!$I$2:$I$501,"Won",Leads!$N$2:$N$501,"&gt;="&amp;Settings!$B$7))</f>
        <v/>
      </c>
      <c r="J98" s="18">
        <f>IF(A98="","",SUMIF(Leads!$P$2:$P$501,A98,Leads!$Q$2:$Q$501))</f>
        <v/>
      </c>
      <c r="K98" s="18">
        <f>IF(A98="","",SUMIF(Leads!$P$2:$P$501,A98,Leads!$R$2:$R$501))</f>
        <v/>
      </c>
      <c r="L98" s="18">
        <f>IF(A98="","",IF(I98&gt;=3,Settings!$B$6,0))</f>
        <v/>
      </c>
      <c r="M98" s="18">
        <f>IF(A98="","",J98+L98)</f>
        <v/>
      </c>
      <c r="N98" s="18" t="n"/>
      <c r="O98" s="18">
        <f>IF(A98="","",M98-N98)</f>
        <v/>
      </c>
      <c r="P98" s="17" t="n"/>
    </row>
    <row r="99">
      <c r="A99" s="17" t="n"/>
      <c r="B99" s="17" t="n"/>
      <c r="C99" s="17" t="n"/>
      <c r="D99" s="17" t="n"/>
      <c r="E99" s="17" t="n"/>
      <c r="F99" s="16" t="n"/>
      <c r="G99" s="17" t="n"/>
      <c r="H99" s="17">
        <f>IF(A99="","",COUNTIF(Leads!$P$2:$P$501,A99))</f>
        <v/>
      </c>
      <c r="I99" s="17">
        <f>IF(A99="","",COUNTIFS(Leads!$P$2:$P$501,A99,Leads!$I$2:$I$501,"Won",Leads!$N$2:$N$501,"&gt;="&amp;Settings!$B$7))</f>
        <v/>
      </c>
      <c r="J99" s="18">
        <f>IF(A99="","",SUMIF(Leads!$P$2:$P$501,A99,Leads!$Q$2:$Q$501))</f>
        <v/>
      </c>
      <c r="K99" s="18">
        <f>IF(A99="","",SUMIF(Leads!$P$2:$P$501,A99,Leads!$R$2:$R$501))</f>
        <v/>
      </c>
      <c r="L99" s="18">
        <f>IF(A99="","",IF(I99&gt;=3,Settings!$B$6,0))</f>
        <v/>
      </c>
      <c r="M99" s="18">
        <f>IF(A99="","",J99+L99)</f>
        <v/>
      </c>
      <c r="N99" s="18" t="n"/>
      <c r="O99" s="18">
        <f>IF(A99="","",M99-N99)</f>
        <v/>
      </c>
      <c r="P99" s="17" t="n"/>
    </row>
    <row r="100">
      <c r="A100" s="17" t="n"/>
      <c r="B100" s="17" t="n"/>
      <c r="C100" s="17" t="n"/>
      <c r="D100" s="17" t="n"/>
      <c r="E100" s="17" t="n"/>
      <c r="F100" s="16" t="n"/>
      <c r="G100" s="17" t="n"/>
      <c r="H100" s="17">
        <f>IF(A100="","",COUNTIF(Leads!$P$2:$P$501,A100))</f>
        <v/>
      </c>
      <c r="I100" s="17">
        <f>IF(A100="","",COUNTIFS(Leads!$P$2:$P$501,A100,Leads!$I$2:$I$501,"Won",Leads!$N$2:$N$501,"&gt;="&amp;Settings!$B$7))</f>
        <v/>
      </c>
      <c r="J100" s="18">
        <f>IF(A100="","",SUMIF(Leads!$P$2:$P$501,A100,Leads!$Q$2:$Q$501))</f>
        <v/>
      </c>
      <c r="K100" s="18">
        <f>IF(A100="","",SUMIF(Leads!$P$2:$P$501,A100,Leads!$R$2:$R$501))</f>
        <v/>
      </c>
      <c r="L100" s="18">
        <f>IF(A100="","",IF(I100&gt;=3,Settings!$B$6,0))</f>
        <v/>
      </c>
      <c r="M100" s="18">
        <f>IF(A100="","",J100+L100)</f>
        <v/>
      </c>
      <c r="N100" s="18" t="n"/>
      <c r="O100" s="18">
        <f>IF(A100="","",M100-N100)</f>
        <v/>
      </c>
      <c r="P100" s="17" t="n"/>
    </row>
    <row r="101">
      <c r="A101" s="17" t="n"/>
      <c r="B101" s="17" t="n"/>
      <c r="C101" s="17" t="n"/>
      <c r="D101" s="17" t="n"/>
      <c r="E101" s="17" t="n"/>
      <c r="F101" s="16" t="n"/>
      <c r="G101" s="17" t="n"/>
      <c r="H101" s="17">
        <f>IF(A101="","",COUNTIF(Leads!$P$2:$P$501,A101))</f>
        <v/>
      </c>
      <c r="I101" s="17">
        <f>IF(A101="","",COUNTIFS(Leads!$P$2:$P$501,A101,Leads!$I$2:$I$501,"Won",Leads!$N$2:$N$501,"&gt;="&amp;Settings!$B$7))</f>
        <v/>
      </c>
      <c r="J101" s="18">
        <f>IF(A101="","",SUMIF(Leads!$P$2:$P$501,A101,Leads!$Q$2:$Q$501))</f>
        <v/>
      </c>
      <c r="K101" s="18">
        <f>IF(A101="","",SUMIF(Leads!$P$2:$P$501,A101,Leads!$R$2:$R$501))</f>
        <v/>
      </c>
      <c r="L101" s="18">
        <f>IF(A101="","",IF(I101&gt;=3,Settings!$B$6,0))</f>
        <v/>
      </c>
      <c r="M101" s="18">
        <f>IF(A101="","",J101+L101)</f>
        <v/>
      </c>
      <c r="N101" s="18" t="n"/>
      <c r="O101" s="18">
        <f>IF(A101="","",M101-N101)</f>
        <v/>
      </c>
      <c r="P101" s="17" t="n"/>
    </row>
    <row r="102">
      <c r="A102" s="17" t="n"/>
      <c r="B102" s="17" t="n"/>
      <c r="C102" s="17" t="n"/>
      <c r="D102" s="17" t="n"/>
      <c r="E102" s="17" t="n"/>
      <c r="F102" s="16" t="n"/>
      <c r="G102" s="17" t="n"/>
      <c r="H102" s="17">
        <f>IF(A102="","",COUNTIF(Leads!$P$2:$P$501,A102))</f>
        <v/>
      </c>
      <c r="I102" s="17">
        <f>IF(A102="","",COUNTIFS(Leads!$P$2:$P$501,A102,Leads!$I$2:$I$501,"Won",Leads!$N$2:$N$501,"&gt;="&amp;Settings!$B$7))</f>
        <v/>
      </c>
      <c r="J102" s="18">
        <f>IF(A102="","",SUMIF(Leads!$P$2:$P$501,A102,Leads!$Q$2:$Q$501))</f>
        <v/>
      </c>
      <c r="K102" s="18">
        <f>IF(A102="","",SUMIF(Leads!$P$2:$P$501,A102,Leads!$R$2:$R$501))</f>
        <v/>
      </c>
      <c r="L102" s="18">
        <f>IF(A102="","",IF(I102&gt;=3,Settings!$B$6,0))</f>
        <v/>
      </c>
      <c r="M102" s="18">
        <f>IF(A102="","",J102+L102)</f>
        <v/>
      </c>
      <c r="N102" s="18" t="n"/>
      <c r="O102" s="18">
        <f>IF(A102="","",M102-N102)</f>
        <v/>
      </c>
      <c r="P102" s="17" t="n"/>
    </row>
    <row r="103">
      <c r="A103" s="17" t="n"/>
      <c r="B103" s="17" t="n"/>
      <c r="C103" s="17" t="n"/>
      <c r="D103" s="17" t="n"/>
      <c r="E103" s="17" t="n"/>
      <c r="F103" s="16" t="n"/>
      <c r="G103" s="17" t="n"/>
      <c r="H103" s="17">
        <f>IF(A103="","",COUNTIF(Leads!$P$2:$P$501,A103))</f>
        <v/>
      </c>
      <c r="I103" s="17">
        <f>IF(A103="","",COUNTIFS(Leads!$P$2:$P$501,A103,Leads!$I$2:$I$501,"Won",Leads!$N$2:$N$501,"&gt;="&amp;Settings!$B$7))</f>
        <v/>
      </c>
      <c r="J103" s="18">
        <f>IF(A103="","",SUMIF(Leads!$P$2:$P$501,A103,Leads!$Q$2:$Q$501))</f>
        <v/>
      </c>
      <c r="K103" s="18">
        <f>IF(A103="","",SUMIF(Leads!$P$2:$P$501,A103,Leads!$R$2:$R$501))</f>
        <v/>
      </c>
      <c r="L103" s="18">
        <f>IF(A103="","",IF(I103&gt;=3,Settings!$B$6,0))</f>
        <v/>
      </c>
      <c r="M103" s="18">
        <f>IF(A103="","",J103+L103)</f>
        <v/>
      </c>
      <c r="N103" s="18" t="n"/>
      <c r="O103" s="18">
        <f>IF(A103="","",M103-N103)</f>
        <v/>
      </c>
      <c r="P103" s="17" t="n"/>
    </row>
    <row r="104">
      <c r="A104" s="17" t="n"/>
      <c r="B104" s="17" t="n"/>
      <c r="C104" s="17" t="n"/>
      <c r="D104" s="17" t="n"/>
      <c r="E104" s="17" t="n"/>
      <c r="F104" s="16" t="n"/>
      <c r="G104" s="17" t="n"/>
      <c r="H104" s="17">
        <f>IF(A104="","",COUNTIF(Leads!$P$2:$P$501,A104))</f>
        <v/>
      </c>
      <c r="I104" s="17">
        <f>IF(A104="","",COUNTIFS(Leads!$P$2:$P$501,A104,Leads!$I$2:$I$501,"Won",Leads!$N$2:$N$501,"&gt;="&amp;Settings!$B$7))</f>
        <v/>
      </c>
      <c r="J104" s="18">
        <f>IF(A104="","",SUMIF(Leads!$P$2:$P$501,A104,Leads!$Q$2:$Q$501))</f>
        <v/>
      </c>
      <c r="K104" s="18">
        <f>IF(A104="","",SUMIF(Leads!$P$2:$P$501,A104,Leads!$R$2:$R$501))</f>
        <v/>
      </c>
      <c r="L104" s="18">
        <f>IF(A104="","",IF(I104&gt;=3,Settings!$B$6,0))</f>
        <v/>
      </c>
      <c r="M104" s="18">
        <f>IF(A104="","",J104+L104)</f>
        <v/>
      </c>
      <c r="N104" s="18" t="n"/>
      <c r="O104" s="18">
        <f>IF(A104="","",M104-N104)</f>
        <v/>
      </c>
      <c r="P104" s="17" t="n"/>
    </row>
    <row r="105">
      <c r="A105" s="17" t="n"/>
      <c r="B105" s="17" t="n"/>
      <c r="C105" s="17" t="n"/>
      <c r="D105" s="17" t="n"/>
      <c r="E105" s="17" t="n"/>
      <c r="F105" s="16" t="n"/>
      <c r="G105" s="17" t="n"/>
      <c r="H105" s="17">
        <f>IF(A105="","",COUNTIF(Leads!$P$2:$P$501,A105))</f>
        <v/>
      </c>
      <c r="I105" s="17">
        <f>IF(A105="","",COUNTIFS(Leads!$P$2:$P$501,A105,Leads!$I$2:$I$501,"Won",Leads!$N$2:$N$501,"&gt;="&amp;Settings!$B$7))</f>
        <v/>
      </c>
      <c r="J105" s="18">
        <f>IF(A105="","",SUMIF(Leads!$P$2:$P$501,A105,Leads!$Q$2:$Q$501))</f>
        <v/>
      </c>
      <c r="K105" s="18">
        <f>IF(A105="","",SUMIF(Leads!$P$2:$P$501,A105,Leads!$R$2:$R$501))</f>
        <v/>
      </c>
      <c r="L105" s="18">
        <f>IF(A105="","",IF(I105&gt;=3,Settings!$B$6,0))</f>
        <v/>
      </c>
      <c r="M105" s="18">
        <f>IF(A105="","",J105+L105)</f>
        <v/>
      </c>
      <c r="N105" s="18" t="n"/>
      <c r="O105" s="18">
        <f>IF(A105="","",M105-N105)</f>
        <v/>
      </c>
      <c r="P105" s="17" t="n"/>
    </row>
    <row r="106">
      <c r="A106" s="17" t="n"/>
      <c r="B106" s="17" t="n"/>
      <c r="C106" s="17" t="n"/>
      <c r="D106" s="17" t="n"/>
      <c r="E106" s="17" t="n"/>
      <c r="F106" s="16" t="n"/>
      <c r="G106" s="17" t="n"/>
      <c r="H106" s="17">
        <f>IF(A106="","",COUNTIF(Leads!$P$2:$P$501,A106))</f>
        <v/>
      </c>
      <c r="I106" s="17">
        <f>IF(A106="","",COUNTIFS(Leads!$P$2:$P$501,A106,Leads!$I$2:$I$501,"Won",Leads!$N$2:$N$501,"&gt;="&amp;Settings!$B$7))</f>
        <v/>
      </c>
      <c r="J106" s="18">
        <f>IF(A106="","",SUMIF(Leads!$P$2:$P$501,A106,Leads!$Q$2:$Q$501))</f>
        <v/>
      </c>
      <c r="K106" s="18">
        <f>IF(A106="","",SUMIF(Leads!$P$2:$P$501,A106,Leads!$R$2:$R$501))</f>
        <v/>
      </c>
      <c r="L106" s="18">
        <f>IF(A106="","",IF(I106&gt;=3,Settings!$B$6,0))</f>
        <v/>
      </c>
      <c r="M106" s="18">
        <f>IF(A106="","",J106+L106)</f>
        <v/>
      </c>
      <c r="N106" s="18" t="n"/>
      <c r="O106" s="18">
        <f>IF(A106="","",M106-N106)</f>
        <v/>
      </c>
      <c r="P106" s="17" t="n"/>
    </row>
    <row r="107">
      <c r="A107" s="17" t="n"/>
      <c r="B107" s="17" t="n"/>
      <c r="C107" s="17" t="n"/>
      <c r="D107" s="17" t="n"/>
      <c r="E107" s="17" t="n"/>
      <c r="F107" s="16" t="n"/>
      <c r="G107" s="17" t="n"/>
      <c r="H107" s="17">
        <f>IF(A107="","",COUNTIF(Leads!$P$2:$P$501,A107))</f>
        <v/>
      </c>
      <c r="I107" s="17">
        <f>IF(A107="","",COUNTIFS(Leads!$P$2:$P$501,A107,Leads!$I$2:$I$501,"Won",Leads!$N$2:$N$501,"&gt;="&amp;Settings!$B$7))</f>
        <v/>
      </c>
      <c r="J107" s="18">
        <f>IF(A107="","",SUMIF(Leads!$P$2:$P$501,A107,Leads!$Q$2:$Q$501))</f>
        <v/>
      </c>
      <c r="K107" s="18">
        <f>IF(A107="","",SUMIF(Leads!$P$2:$P$501,A107,Leads!$R$2:$R$501))</f>
        <v/>
      </c>
      <c r="L107" s="18">
        <f>IF(A107="","",IF(I107&gt;=3,Settings!$B$6,0))</f>
        <v/>
      </c>
      <c r="M107" s="18">
        <f>IF(A107="","",J107+L107)</f>
        <v/>
      </c>
      <c r="N107" s="18" t="n"/>
      <c r="O107" s="18">
        <f>IF(A107="","",M107-N107)</f>
        <v/>
      </c>
      <c r="P107" s="17" t="n"/>
    </row>
    <row r="108">
      <c r="A108" s="17" t="n"/>
      <c r="B108" s="17" t="n"/>
      <c r="C108" s="17" t="n"/>
      <c r="D108" s="17" t="n"/>
      <c r="E108" s="17" t="n"/>
      <c r="F108" s="16" t="n"/>
      <c r="G108" s="17" t="n"/>
      <c r="H108" s="17">
        <f>IF(A108="","",COUNTIF(Leads!$P$2:$P$501,A108))</f>
        <v/>
      </c>
      <c r="I108" s="17">
        <f>IF(A108="","",COUNTIFS(Leads!$P$2:$P$501,A108,Leads!$I$2:$I$501,"Won",Leads!$N$2:$N$501,"&gt;="&amp;Settings!$B$7))</f>
        <v/>
      </c>
      <c r="J108" s="18">
        <f>IF(A108="","",SUMIF(Leads!$P$2:$P$501,A108,Leads!$Q$2:$Q$501))</f>
        <v/>
      </c>
      <c r="K108" s="18">
        <f>IF(A108="","",SUMIF(Leads!$P$2:$P$501,A108,Leads!$R$2:$R$501))</f>
        <v/>
      </c>
      <c r="L108" s="18">
        <f>IF(A108="","",IF(I108&gt;=3,Settings!$B$6,0))</f>
        <v/>
      </c>
      <c r="M108" s="18">
        <f>IF(A108="","",J108+L108)</f>
        <v/>
      </c>
      <c r="N108" s="18" t="n"/>
      <c r="O108" s="18">
        <f>IF(A108="","",M108-N108)</f>
        <v/>
      </c>
      <c r="P108" s="17" t="n"/>
    </row>
    <row r="109">
      <c r="A109" s="17" t="n"/>
      <c r="B109" s="17" t="n"/>
      <c r="C109" s="17" t="n"/>
      <c r="D109" s="17" t="n"/>
      <c r="E109" s="17" t="n"/>
      <c r="F109" s="16" t="n"/>
      <c r="G109" s="17" t="n"/>
      <c r="H109" s="17">
        <f>IF(A109="","",COUNTIF(Leads!$P$2:$P$501,A109))</f>
        <v/>
      </c>
      <c r="I109" s="17">
        <f>IF(A109="","",COUNTIFS(Leads!$P$2:$P$501,A109,Leads!$I$2:$I$501,"Won",Leads!$N$2:$N$501,"&gt;="&amp;Settings!$B$7))</f>
        <v/>
      </c>
      <c r="J109" s="18">
        <f>IF(A109="","",SUMIF(Leads!$P$2:$P$501,A109,Leads!$Q$2:$Q$501))</f>
        <v/>
      </c>
      <c r="K109" s="18">
        <f>IF(A109="","",SUMIF(Leads!$P$2:$P$501,A109,Leads!$R$2:$R$501))</f>
        <v/>
      </c>
      <c r="L109" s="18">
        <f>IF(A109="","",IF(I109&gt;=3,Settings!$B$6,0))</f>
        <v/>
      </c>
      <c r="M109" s="18">
        <f>IF(A109="","",J109+L109)</f>
        <v/>
      </c>
      <c r="N109" s="18" t="n"/>
      <c r="O109" s="18">
        <f>IF(A109="","",M109-N109)</f>
        <v/>
      </c>
      <c r="P109" s="17" t="n"/>
    </row>
    <row r="110">
      <c r="A110" s="17" t="n"/>
      <c r="B110" s="17" t="n"/>
      <c r="C110" s="17" t="n"/>
      <c r="D110" s="17" t="n"/>
      <c r="E110" s="17" t="n"/>
      <c r="F110" s="16" t="n"/>
      <c r="G110" s="17" t="n"/>
      <c r="H110" s="17">
        <f>IF(A110="","",COUNTIF(Leads!$P$2:$P$501,A110))</f>
        <v/>
      </c>
      <c r="I110" s="17">
        <f>IF(A110="","",COUNTIFS(Leads!$P$2:$P$501,A110,Leads!$I$2:$I$501,"Won",Leads!$N$2:$N$501,"&gt;="&amp;Settings!$B$7))</f>
        <v/>
      </c>
      <c r="J110" s="18">
        <f>IF(A110="","",SUMIF(Leads!$P$2:$P$501,A110,Leads!$Q$2:$Q$501))</f>
        <v/>
      </c>
      <c r="K110" s="18">
        <f>IF(A110="","",SUMIF(Leads!$P$2:$P$501,A110,Leads!$R$2:$R$501))</f>
        <v/>
      </c>
      <c r="L110" s="18">
        <f>IF(A110="","",IF(I110&gt;=3,Settings!$B$6,0))</f>
        <v/>
      </c>
      <c r="M110" s="18">
        <f>IF(A110="","",J110+L110)</f>
        <v/>
      </c>
      <c r="N110" s="18" t="n"/>
      <c r="O110" s="18">
        <f>IF(A110="","",M110-N110)</f>
        <v/>
      </c>
      <c r="P110" s="17" t="n"/>
    </row>
    <row r="111">
      <c r="A111" s="17" t="n"/>
      <c r="B111" s="17" t="n"/>
      <c r="C111" s="17" t="n"/>
      <c r="D111" s="17" t="n"/>
      <c r="E111" s="17" t="n"/>
      <c r="F111" s="16" t="n"/>
      <c r="G111" s="17" t="n"/>
      <c r="H111" s="17">
        <f>IF(A111="","",COUNTIF(Leads!$P$2:$P$501,A111))</f>
        <v/>
      </c>
      <c r="I111" s="17">
        <f>IF(A111="","",COUNTIFS(Leads!$P$2:$P$501,A111,Leads!$I$2:$I$501,"Won",Leads!$N$2:$N$501,"&gt;="&amp;Settings!$B$7))</f>
        <v/>
      </c>
      <c r="J111" s="18">
        <f>IF(A111="","",SUMIF(Leads!$P$2:$P$501,A111,Leads!$Q$2:$Q$501))</f>
        <v/>
      </c>
      <c r="K111" s="18">
        <f>IF(A111="","",SUMIF(Leads!$P$2:$P$501,A111,Leads!$R$2:$R$501))</f>
        <v/>
      </c>
      <c r="L111" s="18">
        <f>IF(A111="","",IF(I111&gt;=3,Settings!$B$6,0))</f>
        <v/>
      </c>
      <c r="M111" s="18">
        <f>IF(A111="","",J111+L111)</f>
        <v/>
      </c>
      <c r="N111" s="18" t="n"/>
      <c r="O111" s="18">
        <f>IF(A111="","",M111-N111)</f>
        <v/>
      </c>
      <c r="P111" s="17" t="n"/>
    </row>
    <row r="112">
      <c r="A112" s="17" t="n"/>
      <c r="B112" s="17" t="n"/>
      <c r="C112" s="17" t="n"/>
      <c r="D112" s="17" t="n"/>
      <c r="E112" s="17" t="n"/>
      <c r="F112" s="16" t="n"/>
      <c r="G112" s="17" t="n"/>
      <c r="H112" s="17">
        <f>IF(A112="","",COUNTIF(Leads!$P$2:$P$501,A112))</f>
        <v/>
      </c>
      <c r="I112" s="17">
        <f>IF(A112="","",COUNTIFS(Leads!$P$2:$P$501,A112,Leads!$I$2:$I$501,"Won",Leads!$N$2:$N$501,"&gt;="&amp;Settings!$B$7))</f>
        <v/>
      </c>
      <c r="J112" s="18">
        <f>IF(A112="","",SUMIF(Leads!$P$2:$P$501,A112,Leads!$Q$2:$Q$501))</f>
        <v/>
      </c>
      <c r="K112" s="18">
        <f>IF(A112="","",SUMIF(Leads!$P$2:$P$501,A112,Leads!$R$2:$R$501))</f>
        <v/>
      </c>
      <c r="L112" s="18">
        <f>IF(A112="","",IF(I112&gt;=3,Settings!$B$6,0))</f>
        <v/>
      </c>
      <c r="M112" s="18">
        <f>IF(A112="","",J112+L112)</f>
        <v/>
      </c>
      <c r="N112" s="18" t="n"/>
      <c r="O112" s="18">
        <f>IF(A112="","",M112-N112)</f>
        <v/>
      </c>
      <c r="P112" s="17" t="n"/>
    </row>
    <row r="113">
      <c r="A113" s="17" t="n"/>
      <c r="B113" s="17" t="n"/>
      <c r="C113" s="17" t="n"/>
      <c r="D113" s="17" t="n"/>
      <c r="E113" s="17" t="n"/>
      <c r="F113" s="16" t="n"/>
      <c r="G113" s="17" t="n"/>
      <c r="H113" s="17">
        <f>IF(A113="","",COUNTIF(Leads!$P$2:$P$501,A113))</f>
        <v/>
      </c>
      <c r="I113" s="17">
        <f>IF(A113="","",COUNTIFS(Leads!$P$2:$P$501,A113,Leads!$I$2:$I$501,"Won",Leads!$N$2:$N$501,"&gt;="&amp;Settings!$B$7))</f>
        <v/>
      </c>
      <c r="J113" s="18">
        <f>IF(A113="","",SUMIF(Leads!$P$2:$P$501,A113,Leads!$Q$2:$Q$501))</f>
        <v/>
      </c>
      <c r="K113" s="18">
        <f>IF(A113="","",SUMIF(Leads!$P$2:$P$501,A113,Leads!$R$2:$R$501))</f>
        <v/>
      </c>
      <c r="L113" s="18">
        <f>IF(A113="","",IF(I113&gt;=3,Settings!$B$6,0))</f>
        <v/>
      </c>
      <c r="M113" s="18">
        <f>IF(A113="","",J113+L113)</f>
        <v/>
      </c>
      <c r="N113" s="18" t="n"/>
      <c r="O113" s="18">
        <f>IF(A113="","",M113-N113)</f>
        <v/>
      </c>
      <c r="P113" s="17" t="n"/>
    </row>
    <row r="114">
      <c r="A114" s="17" t="n"/>
      <c r="B114" s="17" t="n"/>
      <c r="C114" s="17" t="n"/>
      <c r="D114" s="17" t="n"/>
      <c r="E114" s="17" t="n"/>
      <c r="F114" s="16" t="n"/>
      <c r="G114" s="17" t="n"/>
      <c r="H114" s="17">
        <f>IF(A114="","",COUNTIF(Leads!$P$2:$P$501,A114))</f>
        <v/>
      </c>
      <c r="I114" s="17">
        <f>IF(A114="","",COUNTIFS(Leads!$P$2:$P$501,A114,Leads!$I$2:$I$501,"Won",Leads!$N$2:$N$501,"&gt;="&amp;Settings!$B$7))</f>
        <v/>
      </c>
      <c r="J114" s="18">
        <f>IF(A114="","",SUMIF(Leads!$P$2:$P$501,A114,Leads!$Q$2:$Q$501))</f>
        <v/>
      </c>
      <c r="K114" s="18">
        <f>IF(A114="","",SUMIF(Leads!$P$2:$P$501,A114,Leads!$R$2:$R$501))</f>
        <v/>
      </c>
      <c r="L114" s="18">
        <f>IF(A114="","",IF(I114&gt;=3,Settings!$B$6,0))</f>
        <v/>
      </c>
      <c r="M114" s="18">
        <f>IF(A114="","",J114+L114)</f>
        <v/>
      </c>
      <c r="N114" s="18" t="n"/>
      <c r="O114" s="18">
        <f>IF(A114="","",M114-N114)</f>
        <v/>
      </c>
      <c r="P114" s="17" t="n"/>
    </row>
    <row r="115">
      <c r="A115" s="17" t="n"/>
      <c r="B115" s="17" t="n"/>
      <c r="C115" s="17" t="n"/>
      <c r="D115" s="17" t="n"/>
      <c r="E115" s="17" t="n"/>
      <c r="F115" s="16" t="n"/>
      <c r="G115" s="17" t="n"/>
      <c r="H115" s="17">
        <f>IF(A115="","",COUNTIF(Leads!$P$2:$P$501,A115))</f>
        <v/>
      </c>
      <c r="I115" s="17">
        <f>IF(A115="","",COUNTIFS(Leads!$P$2:$P$501,A115,Leads!$I$2:$I$501,"Won",Leads!$N$2:$N$501,"&gt;="&amp;Settings!$B$7))</f>
        <v/>
      </c>
      <c r="J115" s="18">
        <f>IF(A115="","",SUMIF(Leads!$P$2:$P$501,A115,Leads!$Q$2:$Q$501))</f>
        <v/>
      </c>
      <c r="K115" s="18">
        <f>IF(A115="","",SUMIF(Leads!$P$2:$P$501,A115,Leads!$R$2:$R$501))</f>
        <v/>
      </c>
      <c r="L115" s="18">
        <f>IF(A115="","",IF(I115&gt;=3,Settings!$B$6,0))</f>
        <v/>
      </c>
      <c r="M115" s="18">
        <f>IF(A115="","",J115+L115)</f>
        <v/>
      </c>
      <c r="N115" s="18" t="n"/>
      <c r="O115" s="18">
        <f>IF(A115="","",M115-N115)</f>
        <v/>
      </c>
      <c r="P115" s="17" t="n"/>
    </row>
    <row r="116">
      <c r="A116" s="17" t="n"/>
      <c r="B116" s="17" t="n"/>
      <c r="C116" s="17" t="n"/>
      <c r="D116" s="17" t="n"/>
      <c r="E116" s="17" t="n"/>
      <c r="F116" s="16" t="n"/>
      <c r="G116" s="17" t="n"/>
      <c r="H116" s="17">
        <f>IF(A116="","",COUNTIF(Leads!$P$2:$P$501,A116))</f>
        <v/>
      </c>
      <c r="I116" s="17">
        <f>IF(A116="","",COUNTIFS(Leads!$P$2:$P$501,A116,Leads!$I$2:$I$501,"Won",Leads!$N$2:$N$501,"&gt;="&amp;Settings!$B$7))</f>
        <v/>
      </c>
      <c r="J116" s="18">
        <f>IF(A116="","",SUMIF(Leads!$P$2:$P$501,A116,Leads!$Q$2:$Q$501))</f>
        <v/>
      </c>
      <c r="K116" s="18">
        <f>IF(A116="","",SUMIF(Leads!$P$2:$P$501,A116,Leads!$R$2:$R$501))</f>
        <v/>
      </c>
      <c r="L116" s="18">
        <f>IF(A116="","",IF(I116&gt;=3,Settings!$B$6,0))</f>
        <v/>
      </c>
      <c r="M116" s="18">
        <f>IF(A116="","",J116+L116)</f>
        <v/>
      </c>
      <c r="N116" s="18" t="n"/>
      <c r="O116" s="18">
        <f>IF(A116="","",M116-N116)</f>
        <v/>
      </c>
      <c r="P116" s="17" t="n"/>
    </row>
    <row r="117">
      <c r="A117" s="17" t="n"/>
      <c r="B117" s="17" t="n"/>
      <c r="C117" s="17" t="n"/>
      <c r="D117" s="17" t="n"/>
      <c r="E117" s="17" t="n"/>
      <c r="F117" s="16" t="n"/>
      <c r="G117" s="17" t="n"/>
      <c r="H117" s="17">
        <f>IF(A117="","",COUNTIF(Leads!$P$2:$P$501,A117))</f>
        <v/>
      </c>
      <c r="I117" s="17">
        <f>IF(A117="","",COUNTIFS(Leads!$P$2:$P$501,A117,Leads!$I$2:$I$501,"Won",Leads!$N$2:$N$501,"&gt;="&amp;Settings!$B$7))</f>
        <v/>
      </c>
      <c r="J117" s="18">
        <f>IF(A117="","",SUMIF(Leads!$P$2:$P$501,A117,Leads!$Q$2:$Q$501))</f>
        <v/>
      </c>
      <c r="K117" s="18">
        <f>IF(A117="","",SUMIF(Leads!$P$2:$P$501,A117,Leads!$R$2:$R$501))</f>
        <v/>
      </c>
      <c r="L117" s="18">
        <f>IF(A117="","",IF(I117&gt;=3,Settings!$B$6,0))</f>
        <v/>
      </c>
      <c r="M117" s="18">
        <f>IF(A117="","",J117+L117)</f>
        <v/>
      </c>
      <c r="N117" s="18" t="n"/>
      <c r="O117" s="18">
        <f>IF(A117="","",M117-N117)</f>
        <v/>
      </c>
      <c r="P117" s="17" t="n"/>
    </row>
    <row r="118">
      <c r="A118" s="17" t="n"/>
      <c r="B118" s="17" t="n"/>
      <c r="C118" s="17" t="n"/>
      <c r="D118" s="17" t="n"/>
      <c r="E118" s="17" t="n"/>
      <c r="F118" s="16" t="n"/>
      <c r="G118" s="17" t="n"/>
      <c r="H118" s="17">
        <f>IF(A118="","",COUNTIF(Leads!$P$2:$P$501,A118))</f>
        <v/>
      </c>
      <c r="I118" s="17">
        <f>IF(A118="","",COUNTIFS(Leads!$P$2:$P$501,A118,Leads!$I$2:$I$501,"Won",Leads!$N$2:$N$501,"&gt;="&amp;Settings!$B$7))</f>
        <v/>
      </c>
      <c r="J118" s="18">
        <f>IF(A118="","",SUMIF(Leads!$P$2:$P$501,A118,Leads!$Q$2:$Q$501))</f>
        <v/>
      </c>
      <c r="K118" s="18">
        <f>IF(A118="","",SUMIF(Leads!$P$2:$P$501,A118,Leads!$R$2:$R$501))</f>
        <v/>
      </c>
      <c r="L118" s="18">
        <f>IF(A118="","",IF(I118&gt;=3,Settings!$B$6,0))</f>
        <v/>
      </c>
      <c r="M118" s="18">
        <f>IF(A118="","",J118+L118)</f>
        <v/>
      </c>
      <c r="N118" s="18" t="n"/>
      <c r="O118" s="18">
        <f>IF(A118="","",M118-N118)</f>
        <v/>
      </c>
      <c r="P118" s="17" t="n"/>
    </row>
    <row r="119">
      <c r="A119" s="17" t="n"/>
      <c r="B119" s="17" t="n"/>
      <c r="C119" s="17" t="n"/>
      <c r="D119" s="17" t="n"/>
      <c r="E119" s="17" t="n"/>
      <c r="F119" s="16" t="n"/>
      <c r="G119" s="17" t="n"/>
      <c r="H119" s="17">
        <f>IF(A119="","",COUNTIF(Leads!$P$2:$P$501,A119))</f>
        <v/>
      </c>
      <c r="I119" s="17">
        <f>IF(A119="","",COUNTIFS(Leads!$P$2:$P$501,A119,Leads!$I$2:$I$501,"Won",Leads!$N$2:$N$501,"&gt;="&amp;Settings!$B$7))</f>
        <v/>
      </c>
      <c r="J119" s="18">
        <f>IF(A119="","",SUMIF(Leads!$P$2:$P$501,A119,Leads!$Q$2:$Q$501))</f>
        <v/>
      </c>
      <c r="K119" s="18">
        <f>IF(A119="","",SUMIF(Leads!$P$2:$P$501,A119,Leads!$R$2:$R$501))</f>
        <v/>
      </c>
      <c r="L119" s="18">
        <f>IF(A119="","",IF(I119&gt;=3,Settings!$B$6,0))</f>
        <v/>
      </c>
      <c r="M119" s="18">
        <f>IF(A119="","",J119+L119)</f>
        <v/>
      </c>
      <c r="N119" s="18" t="n"/>
      <c r="O119" s="18">
        <f>IF(A119="","",M119-N119)</f>
        <v/>
      </c>
      <c r="P119" s="17" t="n"/>
    </row>
    <row r="120">
      <c r="A120" s="17" t="n"/>
      <c r="B120" s="17" t="n"/>
      <c r="C120" s="17" t="n"/>
      <c r="D120" s="17" t="n"/>
      <c r="E120" s="17" t="n"/>
      <c r="F120" s="16" t="n"/>
      <c r="G120" s="17" t="n"/>
      <c r="H120" s="17">
        <f>IF(A120="","",COUNTIF(Leads!$P$2:$P$501,A120))</f>
        <v/>
      </c>
      <c r="I120" s="17">
        <f>IF(A120="","",COUNTIFS(Leads!$P$2:$P$501,A120,Leads!$I$2:$I$501,"Won",Leads!$N$2:$N$501,"&gt;="&amp;Settings!$B$7))</f>
        <v/>
      </c>
      <c r="J120" s="18">
        <f>IF(A120="","",SUMIF(Leads!$P$2:$P$501,A120,Leads!$Q$2:$Q$501))</f>
        <v/>
      </c>
      <c r="K120" s="18">
        <f>IF(A120="","",SUMIF(Leads!$P$2:$P$501,A120,Leads!$R$2:$R$501))</f>
        <v/>
      </c>
      <c r="L120" s="18">
        <f>IF(A120="","",IF(I120&gt;=3,Settings!$B$6,0))</f>
        <v/>
      </c>
      <c r="M120" s="18">
        <f>IF(A120="","",J120+L120)</f>
        <v/>
      </c>
      <c r="N120" s="18" t="n"/>
      <c r="O120" s="18">
        <f>IF(A120="","",M120-N120)</f>
        <v/>
      </c>
      <c r="P120" s="17" t="n"/>
    </row>
    <row r="121">
      <c r="A121" s="17" t="n"/>
      <c r="B121" s="17" t="n"/>
      <c r="C121" s="17" t="n"/>
      <c r="D121" s="17" t="n"/>
      <c r="E121" s="17" t="n"/>
      <c r="F121" s="16" t="n"/>
      <c r="G121" s="17" t="n"/>
      <c r="H121" s="17">
        <f>IF(A121="","",COUNTIF(Leads!$P$2:$P$501,A121))</f>
        <v/>
      </c>
      <c r="I121" s="17">
        <f>IF(A121="","",COUNTIFS(Leads!$P$2:$P$501,A121,Leads!$I$2:$I$501,"Won",Leads!$N$2:$N$501,"&gt;="&amp;Settings!$B$7))</f>
        <v/>
      </c>
      <c r="J121" s="18">
        <f>IF(A121="","",SUMIF(Leads!$P$2:$P$501,A121,Leads!$Q$2:$Q$501))</f>
        <v/>
      </c>
      <c r="K121" s="18">
        <f>IF(A121="","",SUMIF(Leads!$P$2:$P$501,A121,Leads!$R$2:$R$501))</f>
        <v/>
      </c>
      <c r="L121" s="18">
        <f>IF(A121="","",IF(I121&gt;=3,Settings!$B$6,0))</f>
        <v/>
      </c>
      <c r="M121" s="18">
        <f>IF(A121="","",J121+L121)</f>
        <v/>
      </c>
      <c r="N121" s="18" t="n"/>
      <c r="O121" s="18">
        <f>IF(A121="","",M121-N121)</f>
        <v/>
      </c>
      <c r="P121" s="17" t="n"/>
    </row>
    <row r="122">
      <c r="A122" s="17" t="n"/>
      <c r="B122" s="17" t="n"/>
      <c r="C122" s="17" t="n"/>
      <c r="D122" s="17" t="n"/>
      <c r="E122" s="17" t="n"/>
      <c r="F122" s="16" t="n"/>
      <c r="G122" s="17" t="n"/>
      <c r="H122" s="17">
        <f>IF(A122="","",COUNTIF(Leads!$P$2:$P$501,A122))</f>
        <v/>
      </c>
      <c r="I122" s="17">
        <f>IF(A122="","",COUNTIFS(Leads!$P$2:$P$501,A122,Leads!$I$2:$I$501,"Won",Leads!$N$2:$N$501,"&gt;="&amp;Settings!$B$7))</f>
        <v/>
      </c>
      <c r="J122" s="18">
        <f>IF(A122="","",SUMIF(Leads!$P$2:$P$501,A122,Leads!$Q$2:$Q$501))</f>
        <v/>
      </c>
      <c r="K122" s="18">
        <f>IF(A122="","",SUMIF(Leads!$P$2:$P$501,A122,Leads!$R$2:$R$501))</f>
        <v/>
      </c>
      <c r="L122" s="18">
        <f>IF(A122="","",IF(I122&gt;=3,Settings!$B$6,0))</f>
        <v/>
      </c>
      <c r="M122" s="18">
        <f>IF(A122="","",J122+L122)</f>
        <v/>
      </c>
      <c r="N122" s="18" t="n"/>
      <c r="O122" s="18">
        <f>IF(A122="","",M122-N122)</f>
        <v/>
      </c>
      <c r="P122" s="17" t="n"/>
    </row>
    <row r="123">
      <c r="A123" s="17" t="n"/>
      <c r="B123" s="17" t="n"/>
      <c r="C123" s="17" t="n"/>
      <c r="D123" s="17" t="n"/>
      <c r="E123" s="17" t="n"/>
      <c r="F123" s="16" t="n"/>
      <c r="G123" s="17" t="n"/>
      <c r="H123" s="17">
        <f>IF(A123="","",COUNTIF(Leads!$P$2:$P$501,A123))</f>
        <v/>
      </c>
      <c r="I123" s="17">
        <f>IF(A123="","",COUNTIFS(Leads!$P$2:$P$501,A123,Leads!$I$2:$I$501,"Won",Leads!$N$2:$N$501,"&gt;="&amp;Settings!$B$7))</f>
        <v/>
      </c>
      <c r="J123" s="18">
        <f>IF(A123="","",SUMIF(Leads!$P$2:$P$501,A123,Leads!$Q$2:$Q$501))</f>
        <v/>
      </c>
      <c r="K123" s="18">
        <f>IF(A123="","",SUMIF(Leads!$P$2:$P$501,A123,Leads!$R$2:$R$501))</f>
        <v/>
      </c>
      <c r="L123" s="18">
        <f>IF(A123="","",IF(I123&gt;=3,Settings!$B$6,0))</f>
        <v/>
      </c>
      <c r="M123" s="18">
        <f>IF(A123="","",J123+L123)</f>
        <v/>
      </c>
      <c r="N123" s="18" t="n"/>
      <c r="O123" s="18">
        <f>IF(A123="","",M123-N123)</f>
        <v/>
      </c>
      <c r="P123" s="17" t="n"/>
    </row>
    <row r="124">
      <c r="A124" s="17" t="n"/>
      <c r="B124" s="17" t="n"/>
      <c r="C124" s="17" t="n"/>
      <c r="D124" s="17" t="n"/>
      <c r="E124" s="17" t="n"/>
      <c r="F124" s="16" t="n"/>
      <c r="G124" s="17" t="n"/>
      <c r="H124" s="17">
        <f>IF(A124="","",COUNTIF(Leads!$P$2:$P$501,A124))</f>
        <v/>
      </c>
      <c r="I124" s="17">
        <f>IF(A124="","",COUNTIFS(Leads!$P$2:$P$501,A124,Leads!$I$2:$I$501,"Won",Leads!$N$2:$N$501,"&gt;="&amp;Settings!$B$7))</f>
        <v/>
      </c>
      <c r="J124" s="18">
        <f>IF(A124="","",SUMIF(Leads!$P$2:$P$501,A124,Leads!$Q$2:$Q$501))</f>
        <v/>
      </c>
      <c r="K124" s="18">
        <f>IF(A124="","",SUMIF(Leads!$P$2:$P$501,A124,Leads!$R$2:$R$501))</f>
        <v/>
      </c>
      <c r="L124" s="18">
        <f>IF(A124="","",IF(I124&gt;=3,Settings!$B$6,0))</f>
        <v/>
      </c>
      <c r="M124" s="18">
        <f>IF(A124="","",J124+L124)</f>
        <v/>
      </c>
      <c r="N124" s="18" t="n"/>
      <c r="O124" s="18">
        <f>IF(A124="","",M124-N124)</f>
        <v/>
      </c>
      <c r="P124" s="17" t="n"/>
    </row>
    <row r="125">
      <c r="A125" s="17" t="n"/>
      <c r="B125" s="17" t="n"/>
      <c r="C125" s="17" t="n"/>
      <c r="D125" s="17" t="n"/>
      <c r="E125" s="17" t="n"/>
      <c r="F125" s="16" t="n"/>
      <c r="G125" s="17" t="n"/>
      <c r="H125" s="17">
        <f>IF(A125="","",COUNTIF(Leads!$P$2:$P$501,A125))</f>
        <v/>
      </c>
      <c r="I125" s="17">
        <f>IF(A125="","",COUNTIFS(Leads!$P$2:$P$501,A125,Leads!$I$2:$I$501,"Won",Leads!$N$2:$N$501,"&gt;="&amp;Settings!$B$7))</f>
        <v/>
      </c>
      <c r="J125" s="18">
        <f>IF(A125="","",SUMIF(Leads!$P$2:$P$501,A125,Leads!$Q$2:$Q$501))</f>
        <v/>
      </c>
      <c r="K125" s="18">
        <f>IF(A125="","",SUMIF(Leads!$P$2:$P$501,A125,Leads!$R$2:$R$501))</f>
        <v/>
      </c>
      <c r="L125" s="18">
        <f>IF(A125="","",IF(I125&gt;=3,Settings!$B$6,0))</f>
        <v/>
      </c>
      <c r="M125" s="18">
        <f>IF(A125="","",J125+L125)</f>
        <v/>
      </c>
      <c r="N125" s="18" t="n"/>
      <c r="O125" s="18">
        <f>IF(A125="","",M125-N125)</f>
        <v/>
      </c>
      <c r="P125" s="17" t="n"/>
    </row>
    <row r="126">
      <c r="A126" s="17" t="n"/>
      <c r="B126" s="17" t="n"/>
      <c r="C126" s="17" t="n"/>
      <c r="D126" s="17" t="n"/>
      <c r="E126" s="17" t="n"/>
      <c r="F126" s="16" t="n"/>
      <c r="G126" s="17" t="n"/>
      <c r="H126" s="17">
        <f>IF(A126="","",COUNTIF(Leads!$P$2:$P$501,A126))</f>
        <v/>
      </c>
      <c r="I126" s="17">
        <f>IF(A126="","",COUNTIFS(Leads!$P$2:$P$501,A126,Leads!$I$2:$I$501,"Won",Leads!$N$2:$N$501,"&gt;="&amp;Settings!$B$7))</f>
        <v/>
      </c>
      <c r="J126" s="18">
        <f>IF(A126="","",SUMIF(Leads!$P$2:$P$501,A126,Leads!$Q$2:$Q$501))</f>
        <v/>
      </c>
      <c r="K126" s="18">
        <f>IF(A126="","",SUMIF(Leads!$P$2:$P$501,A126,Leads!$R$2:$R$501))</f>
        <v/>
      </c>
      <c r="L126" s="18">
        <f>IF(A126="","",IF(I126&gt;=3,Settings!$B$6,0))</f>
        <v/>
      </c>
      <c r="M126" s="18">
        <f>IF(A126="","",J126+L126)</f>
        <v/>
      </c>
      <c r="N126" s="18" t="n"/>
      <c r="O126" s="18">
        <f>IF(A126="","",M126-N126)</f>
        <v/>
      </c>
      <c r="P126" s="17" t="n"/>
    </row>
    <row r="127">
      <c r="A127" s="17" t="n"/>
      <c r="B127" s="17" t="n"/>
      <c r="C127" s="17" t="n"/>
      <c r="D127" s="17" t="n"/>
      <c r="E127" s="17" t="n"/>
      <c r="F127" s="16" t="n"/>
      <c r="G127" s="17" t="n"/>
      <c r="H127" s="17">
        <f>IF(A127="","",COUNTIF(Leads!$P$2:$P$501,A127))</f>
        <v/>
      </c>
      <c r="I127" s="17">
        <f>IF(A127="","",COUNTIFS(Leads!$P$2:$P$501,A127,Leads!$I$2:$I$501,"Won",Leads!$N$2:$N$501,"&gt;="&amp;Settings!$B$7))</f>
        <v/>
      </c>
      <c r="J127" s="18">
        <f>IF(A127="","",SUMIF(Leads!$P$2:$P$501,A127,Leads!$Q$2:$Q$501))</f>
        <v/>
      </c>
      <c r="K127" s="18">
        <f>IF(A127="","",SUMIF(Leads!$P$2:$P$501,A127,Leads!$R$2:$R$501))</f>
        <v/>
      </c>
      <c r="L127" s="18">
        <f>IF(A127="","",IF(I127&gt;=3,Settings!$B$6,0))</f>
        <v/>
      </c>
      <c r="M127" s="18">
        <f>IF(A127="","",J127+L127)</f>
        <v/>
      </c>
      <c r="N127" s="18" t="n"/>
      <c r="O127" s="18">
        <f>IF(A127="","",M127-N127)</f>
        <v/>
      </c>
      <c r="P127" s="17" t="n"/>
    </row>
    <row r="128">
      <c r="A128" s="17" t="n"/>
      <c r="B128" s="17" t="n"/>
      <c r="C128" s="17" t="n"/>
      <c r="D128" s="17" t="n"/>
      <c r="E128" s="17" t="n"/>
      <c r="F128" s="16" t="n"/>
      <c r="G128" s="17" t="n"/>
      <c r="H128" s="17">
        <f>IF(A128="","",COUNTIF(Leads!$P$2:$P$501,A128))</f>
        <v/>
      </c>
      <c r="I128" s="17">
        <f>IF(A128="","",COUNTIFS(Leads!$P$2:$P$501,A128,Leads!$I$2:$I$501,"Won",Leads!$N$2:$N$501,"&gt;="&amp;Settings!$B$7))</f>
        <v/>
      </c>
      <c r="J128" s="18">
        <f>IF(A128="","",SUMIF(Leads!$P$2:$P$501,A128,Leads!$Q$2:$Q$501))</f>
        <v/>
      </c>
      <c r="K128" s="18">
        <f>IF(A128="","",SUMIF(Leads!$P$2:$P$501,A128,Leads!$R$2:$R$501))</f>
        <v/>
      </c>
      <c r="L128" s="18">
        <f>IF(A128="","",IF(I128&gt;=3,Settings!$B$6,0))</f>
        <v/>
      </c>
      <c r="M128" s="18">
        <f>IF(A128="","",J128+L128)</f>
        <v/>
      </c>
      <c r="N128" s="18" t="n"/>
      <c r="O128" s="18">
        <f>IF(A128="","",M128-N128)</f>
        <v/>
      </c>
      <c r="P128" s="17" t="n"/>
    </row>
    <row r="129">
      <c r="A129" s="17" t="n"/>
      <c r="B129" s="17" t="n"/>
      <c r="C129" s="17" t="n"/>
      <c r="D129" s="17" t="n"/>
      <c r="E129" s="17" t="n"/>
      <c r="F129" s="16" t="n"/>
      <c r="G129" s="17" t="n"/>
      <c r="H129" s="17">
        <f>IF(A129="","",COUNTIF(Leads!$P$2:$P$501,A129))</f>
        <v/>
      </c>
      <c r="I129" s="17">
        <f>IF(A129="","",COUNTIFS(Leads!$P$2:$P$501,A129,Leads!$I$2:$I$501,"Won",Leads!$N$2:$N$501,"&gt;="&amp;Settings!$B$7))</f>
        <v/>
      </c>
      <c r="J129" s="18">
        <f>IF(A129="","",SUMIF(Leads!$P$2:$P$501,A129,Leads!$Q$2:$Q$501))</f>
        <v/>
      </c>
      <c r="K129" s="18">
        <f>IF(A129="","",SUMIF(Leads!$P$2:$P$501,A129,Leads!$R$2:$R$501))</f>
        <v/>
      </c>
      <c r="L129" s="18">
        <f>IF(A129="","",IF(I129&gt;=3,Settings!$B$6,0))</f>
        <v/>
      </c>
      <c r="M129" s="18">
        <f>IF(A129="","",J129+L129)</f>
        <v/>
      </c>
      <c r="N129" s="18" t="n"/>
      <c r="O129" s="18">
        <f>IF(A129="","",M129-N129)</f>
        <v/>
      </c>
      <c r="P129" s="17" t="n"/>
    </row>
    <row r="130">
      <c r="A130" s="17" t="n"/>
      <c r="B130" s="17" t="n"/>
      <c r="C130" s="17" t="n"/>
      <c r="D130" s="17" t="n"/>
      <c r="E130" s="17" t="n"/>
      <c r="F130" s="16" t="n"/>
      <c r="G130" s="17" t="n"/>
      <c r="H130" s="17">
        <f>IF(A130="","",COUNTIF(Leads!$P$2:$P$501,A130))</f>
        <v/>
      </c>
      <c r="I130" s="17">
        <f>IF(A130="","",COUNTIFS(Leads!$P$2:$P$501,A130,Leads!$I$2:$I$501,"Won",Leads!$N$2:$N$501,"&gt;="&amp;Settings!$B$7))</f>
        <v/>
      </c>
      <c r="J130" s="18">
        <f>IF(A130="","",SUMIF(Leads!$P$2:$P$501,A130,Leads!$Q$2:$Q$501))</f>
        <v/>
      </c>
      <c r="K130" s="18">
        <f>IF(A130="","",SUMIF(Leads!$P$2:$P$501,A130,Leads!$R$2:$R$501))</f>
        <v/>
      </c>
      <c r="L130" s="18">
        <f>IF(A130="","",IF(I130&gt;=3,Settings!$B$6,0))</f>
        <v/>
      </c>
      <c r="M130" s="18">
        <f>IF(A130="","",J130+L130)</f>
        <v/>
      </c>
      <c r="N130" s="18" t="n"/>
      <c r="O130" s="18">
        <f>IF(A130="","",M130-N130)</f>
        <v/>
      </c>
      <c r="P130" s="17" t="n"/>
    </row>
    <row r="131">
      <c r="A131" s="17" t="n"/>
      <c r="B131" s="17" t="n"/>
      <c r="C131" s="17" t="n"/>
      <c r="D131" s="17" t="n"/>
      <c r="E131" s="17" t="n"/>
      <c r="F131" s="16" t="n"/>
      <c r="G131" s="17" t="n"/>
      <c r="H131" s="17">
        <f>IF(A131="","",COUNTIF(Leads!$P$2:$P$501,A131))</f>
        <v/>
      </c>
      <c r="I131" s="17">
        <f>IF(A131="","",COUNTIFS(Leads!$P$2:$P$501,A131,Leads!$I$2:$I$501,"Won",Leads!$N$2:$N$501,"&gt;="&amp;Settings!$B$7))</f>
        <v/>
      </c>
      <c r="J131" s="18">
        <f>IF(A131="","",SUMIF(Leads!$P$2:$P$501,A131,Leads!$Q$2:$Q$501))</f>
        <v/>
      </c>
      <c r="K131" s="18">
        <f>IF(A131="","",SUMIF(Leads!$P$2:$P$501,A131,Leads!$R$2:$R$501))</f>
        <v/>
      </c>
      <c r="L131" s="18">
        <f>IF(A131="","",IF(I131&gt;=3,Settings!$B$6,0))</f>
        <v/>
      </c>
      <c r="M131" s="18">
        <f>IF(A131="","",J131+L131)</f>
        <v/>
      </c>
      <c r="N131" s="18" t="n"/>
      <c r="O131" s="18">
        <f>IF(A131="","",M131-N131)</f>
        <v/>
      </c>
      <c r="P131" s="17" t="n"/>
    </row>
    <row r="132">
      <c r="A132" s="17" t="n"/>
      <c r="B132" s="17" t="n"/>
      <c r="C132" s="17" t="n"/>
      <c r="D132" s="17" t="n"/>
      <c r="E132" s="17" t="n"/>
      <c r="F132" s="16" t="n"/>
      <c r="G132" s="17" t="n"/>
      <c r="H132" s="17">
        <f>IF(A132="","",COUNTIF(Leads!$P$2:$P$501,A132))</f>
        <v/>
      </c>
      <c r="I132" s="17">
        <f>IF(A132="","",COUNTIFS(Leads!$P$2:$P$501,A132,Leads!$I$2:$I$501,"Won",Leads!$N$2:$N$501,"&gt;="&amp;Settings!$B$7))</f>
        <v/>
      </c>
      <c r="J132" s="18">
        <f>IF(A132="","",SUMIF(Leads!$P$2:$P$501,A132,Leads!$Q$2:$Q$501))</f>
        <v/>
      </c>
      <c r="K132" s="18">
        <f>IF(A132="","",SUMIF(Leads!$P$2:$P$501,A132,Leads!$R$2:$R$501))</f>
        <v/>
      </c>
      <c r="L132" s="18">
        <f>IF(A132="","",IF(I132&gt;=3,Settings!$B$6,0))</f>
        <v/>
      </c>
      <c r="M132" s="18">
        <f>IF(A132="","",J132+L132)</f>
        <v/>
      </c>
      <c r="N132" s="18" t="n"/>
      <c r="O132" s="18">
        <f>IF(A132="","",M132-N132)</f>
        <v/>
      </c>
      <c r="P132" s="17" t="n"/>
    </row>
    <row r="133">
      <c r="A133" s="17" t="n"/>
      <c r="B133" s="17" t="n"/>
      <c r="C133" s="17" t="n"/>
      <c r="D133" s="17" t="n"/>
      <c r="E133" s="17" t="n"/>
      <c r="F133" s="16" t="n"/>
      <c r="G133" s="17" t="n"/>
      <c r="H133" s="17">
        <f>IF(A133="","",COUNTIF(Leads!$P$2:$P$501,A133))</f>
        <v/>
      </c>
      <c r="I133" s="17">
        <f>IF(A133="","",COUNTIFS(Leads!$P$2:$P$501,A133,Leads!$I$2:$I$501,"Won",Leads!$N$2:$N$501,"&gt;="&amp;Settings!$B$7))</f>
        <v/>
      </c>
      <c r="J133" s="18">
        <f>IF(A133="","",SUMIF(Leads!$P$2:$P$501,A133,Leads!$Q$2:$Q$501))</f>
        <v/>
      </c>
      <c r="K133" s="18">
        <f>IF(A133="","",SUMIF(Leads!$P$2:$P$501,A133,Leads!$R$2:$R$501))</f>
        <v/>
      </c>
      <c r="L133" s="18">
        <f>IF(A133="","",IF(I133&gt;=3,Settings!$B$6,0))</f>
        <v/>
      </c>
      <c r="M133" s="18">
        <f>IF(A133="","",J133+L133)</f>
        <v/>
      </c>
      <c r="N133" s="18" t="n"/>
      <c r="O133" s="18">
        <f>IF(A133="","",M133-N133)</f>
        <v/>
      </c>
      <c r="P133" s="17" t="n"/>
    </row>
    <row r="134">
      <c r="A134" s="17" t="n"/>
      <c r="B134" s="17" t="n"/>
      <c r="C134" s="17" t="n"/>
      <c r="D134" s="17" t="n"/>
      <c r="E134" s="17" t="n"/>
      <c r="F134" s="16" t="n"/>
      <c r="G134" s="17" t="n"/>
      <c r="H134" s="17">
        <f>IF(A134="","",COUNTIF(Leads!$P$2:$P$501,A134))</f>
        <v/>
      </c>
      <c r="I134" s="17">
        <f>IF(A134="","",COUNTIFS(Leads!$P$2:$P$501,A134,Leads!$I$2:$I$501,"Won",Leads!$N$2:$N$501,"&gt;="&amp;Settings!$B$7))</f>
        <v/>
      </c>
      <c r="J134" s="18">
        <f>IF(A134="","",SUMIF(Leads!$P$2:$P$501,A134,Leads!$Q$2:$Q$501))</f>
        <v/>
      </c>
      <c r="K134" s="18">
        <f>IF(A134="","",SUMIF(Leads!$P$2:$P$501,A134,Leads!$R$2:$R$501))</f>
        <v/>
      </c>
      <c r="L134" s="18">
        <f>IF(A134="","",IF(I134&gt;=3,Settings!$B$6,0))</f>
        <v/>
      </c>
      <c r="M134" s="18">
        <f>IF(A134="","",J134+L134)</f>
        <v/>
      </c>
      <c r="N134" s="18" t="n"/>
      <c r="O134" s="18">
        <f>IF(A134="","",M134-N134)</f>
        <v/>
      </c>
      <c r="P134" s="17" t="n"/>
    </row>
    <row r="135">
      <c r="A135" s="17" t="n"/>
      <c r="B135" s="17" t="n"/>
      <c r="C135" s="17" t="n"/>
      <c r="D135" s="17" t="n"/>
      <c r="E135" s="17" t="n"/>
      <c r="F135" s="16" t="n"/>
      <c r="G135" s="17" t="n"/>
      <c r="H135" s="17">
        <f>IF(A135="","",COUNTIF(Leads!$P$2:$P$501,A135))</f>
        <v/>
      </c>
      <c r="I135" s="17">
        <f>IF(A135="","",COUNTIFS(Leads!$P$2:$P$501,A135,Leads!$I$2:$I$501,"Won",Leads!$N$2:$N$501,"&gt;="&amp;Settings!$B$7))</f>
        <v/>
      </c>
      <c r="J135" s="18">
        <f>IF(A135="","",SUMIF(Leads!$P$2:$P$501,A135,Leads!$Q$2:$Q$501))</f>
        <v/>
      </c>
      <c r="K135" s="18">
        <f>IF(A135="","",SUMIF(Leads!$P$2:$P$501,A135,Leads!$R$2:$R$501))</f>
        <v/>
      </c>
      <c r="L135" s="18">
        <f>IF(A135="","",IF(I135&gt;=3,Settings!$B$6,0))</f>
        <v/>
      </c>
      <c r="M135" s="18">
        <f>IF(A135="","",J135+L135)</f>
        <v/>
      </c>
      <c r="N135" s="18" t="n"/>
      <c r="O135" s="18">
        <f>IF(A135="","",M135-N135)</f>
        <v/>
      </c>
      <c r="P135" s="17" t="n"/>
    </row>
    <row r="136">
      <c r="A136" s="17" t="n"/>
      <c r="B136" s="17" t="n"/>
      <c r="C136" s="17" t="n"/>
      <c r="D136" s="17" t="n"/>
      <c r="E136" s="17" t="n"/>
      <c r="F136" s="16" t="n"/>
      <c r="G136" s="17" t="n"/>
      <c r="H136" s="17">
        <f>IF(A136="","",COUNTIF(Leads!$P$2:$P$501,A136))</f>
        <v/>
      </c>
      <c r="I136" s="17">
        <f>IF(A136="","",COUNTIFS(Leads!$P$2:$P$501,A136,Leads!$I$2:$I$501,"Won",Leads!$N$2:$N$501,"&gt;="&amp;Settings!$B$7))</f>
        <v/>
      </c>
      <c r="J136" s="18">
        <f>IF(A136="","",SUMIF(Leads!$P$2:$P$501,A136,Leads!$Q$2:$Q$501))</f>
        <v/>
      </c>
      <c r="K136" s="18">
        <f>IF(A136="","",SUMIF(Leads!$P$2:$P$501,A136,Leads!$R$2:$R$501))</f>
        <v/>
      </c>
      <c r="L136" s="18">
        <f>IF(A136="","",IF(I136&gt;=3,Settings!$B$6,0))</f>
        <v/>
      </c>
      <c r="M136" s="18">
        <f>IF(A136="","",J136+L136)</f>
        <v/>
      </c>
      <c r="N136" s="18" t="n"/>
      <c r="O136" s="18">
        <f>IF(A136="","",M136-N136)</f>
        <v/>
      </c>
      <c r="P136" s="17" t="n"/>
    </row>
    <row r="137">
      <c r="A137" s="17" t="n"/>
      <c r="B137" s="17" t="n"/>
      <c r="C137" s="17" t="n"/>
      <c r="D137" s="17" t="n"/>
      <c r="E137" s="17" t="n"/>
      <c r="F137" s="16" t="n"/>
      <c r="G137" s="17" t="n"/>
      <c r="H137" s="17">
        <f>IF(A137="","",COUNTIF(Leads!$P$2:$P$501,A137))</f>
        <v/>
      </c>
      <c r="I137" s="17">
        <f>IF(A137="","",COUNTIFS(Leads!$P$2:$P$501,A137,Leads!$I$2:$I$501,"Won",Leads!$N$2:$N$501,"&gt;="&amp;Settings!$B$7))</f>
        <v/>
      </c>
      <c r="J137" s="18">
        <f>IF(A137="","",SUMIF(Leads!$P$2:$P$501,A137,Leads!$Q$2:$Q$501))</f>
        <v/>
      </c>
      <c r="K137" s="18">
        <f>IF(A137="","",SUMIF(Leads!$P$2:$P$501,A137,Leads!$R$2:$R$501))</f>
        <v/>
      </c>
      <c r="L137" s="18">
        <f>IF(A137="","",IF(I137&gt;=3,Settings!$B$6,0))</f>
        <v/>
      </c>
      <c r="M137" s="18">
        <f>IF(A137="","",J137+L137)</f>
        <v/>
      </c>
      <c r="N137" s="18" t="n"/>
      <c r="O137" s="18">
        <f>IF(A137="","",M137-N137)</f>
        <v/>
      </c>
      <c r="P137" s="17" t="n"/>
    </row>
    <row r="138">
      <c r="A138" s="17" t="n"/>
      <c r="B138" s="17" t="n"/>
      <c r="C138" s="17" t="n"/>
      <c r="D138" s="17" t="n"/>
      <c r="E138" s="17" t="n"/>
      <c r="F138" s="16" t="n"/>
      <c r="G138" s="17" t="n"/>
      <c r="H138" s="17">
        <f>IF(A138="","",COUNTIF(Leads!$P$2:$P$501,A138))</f>
        <v/>
      </c>
      <c r="I138" s="17">
        <f>IF(A138="","",COUNTIFS(Leads!$P$2:$P$501,A138,Leads!$I$2:$I$501,"Won",Leads!$N$2:$N$501,"&gt;="&amp;Settings!$B$7))</f>
        <v/>
      </c>
      <c r="J138" s="18">
        <f>IF(A138="","",SUMIF(Leads!$P$2:$P$501,A138,Leads!$Q$2:$Q$501))</f>
        <v/>
      </c>
      <c r="K138" s="18">
        <f>IF(A138="","",SUMIF(Leads!$P$2:$P$501,A138,Leads!$R$2:$R$501))</f>
        <v/>
      </c>
      <c r="L138" s="18">
        <f>IF(A138="","",IF(I138&gt;=3,Settings!$B$6,0))</f>
        <v/>
      </c>
      <c r="M138" s="18">
        <f>IF(A138="","",J138+L138)</f>
        <v/>
      </c>
      <c r="N138" s="18" t="n"/>
      <c r="O138" s="18">
        <f>IF(A138="","",M138-N138)</f>
        <v/>
      </c>
      <c r="P138" s="17" t="n"/>
    </row>
    <row r="139">
      <c r="A139" s="17" t="n"/>
      <c r="B139" s="17" t="n"/>
      <c r="C139" s="17" t="n"/>
      <c r="D139" s="17" t="n"/>
      <c r="E139" s="17" t="n"/>
      <c r="F139" s="16" t="n"/>
      <c r="G139" s="17" t="n"/>
      <c r="H139" s="17">
        <f>IF(A139="","",COUNTIF(Leads!$P$2:$P$501,A139))</f>
        <v/>
      </c>
      <c r="I139" s="17">
        <f>IF(A139="","",COUNTIFS(Leads!$P$2:$P$501,A139,Leads!$I$2:$I$501,"Won",Leads!$N$2:$N$501,"&gt;="&amp;Settings!$B$7))</f>
        <v/>
      </c>
      <c r="J139" s="18">
        <f>IF(A139="","",SUMIF(Leads!$P$2:$P$501,A139,Leads!$Q$2:$Q$501))</f>
        <v/>
      </c>
      <c r="K139" s="18">
        <f>IF(A139="","",SUMIF(Leads!$P$2:$P$501,A139,Leads!$R$2:$R$501))</f>
        <v/>
      </c>
      <c r="L139" s="18">
        <f>IF(A139="","",IF(I139&gt;=3,Settings!$B$6,0))</f>
        <v/>
      </c>
      <c r="M139" s="18">
        <f>IF(A139="","",J139+L139)</f>
        <v/>
      </c>
      <c r="N139" s="18" t="n"/>
      <c r="O139" s="18">
        <f>IF(A139="","",M139-N139)</f>
        <v/>
      </c>
      <c r="P139" s="17" t="n"/>
    </row>
    <row r="140">
      <c r="A140" s="17" t="n"/>
      <c r="B140" s="17" t="n"/>
      <c r="C140" s="17" t="n"/>
      <c r="D140" s="17" t="n"/>
      <c r="E140" s="17" t="n"/>
      <c r="F140" s="16" t="n"/>
      <c r="G140" s="17" t="n"/>
      <c r="H140" s="17">
        <f>IF(A140="","",COUNTIF(Leads!$P$2:$P$501,A140))</f>
        <v/>
      </c>
      <c r="I140" s="17">
        <f>IF(A140="","",COUNTIFS(Leads!$P$2:$P$501,A140,Leads!$I$2:$I$501,"Won",Leads!$N$2:$N$501,"&gt;="&amp;Settings!$B$7))</f>
        <v/>
      </c>
      <c r="J140" s="18">
        <f>IF(A140="","",SUMIF(Leads!$P$2:$P$501,A140,Leads!$Q$2:$Q$501))</f>
        <v/>
      </c>
      <c r="K140" s="18">
        <f>IF(A140="","",SUMIF(Leads!$P$2:$P$501,A140,Leads!$R$2:$R$501))</f>
        <v/>
      </c>
      <c r="L140" s="18">
        <f>IF(A140="","",IF(I140&gt;=3,Settings!$B$6,0))</f>
        <v/>
      </c>
      <c r="M140" s="18">
        <f>IF(A140="","",J140+L140)</f>
        <v/>
      </c>
      <c r="N140" s="18" t="n"/>
      <c r="O140" s="18">
        <f>IF(A140="","",M140-N140)</f>
        <v/>
      </c>
      <c r="P140" s="17" t="n"/>
    </row>
    <row r="141">
      <c r="A141" s="17" t="n"/>
      <c r="B141" s="17" t="n"/>
      <c r="C141" s="17" t="n"/>
      <c r="D141" s="17" t="n"/>
      <c r="E141" s="17" t="n"/>
      <c r="F141" s="16" t="n"/>
      <c r="G141" s="17" t="n"/>
      <c r="H141" s="17">
        <f>IF(A141="","",COUNTIF(Leads!$P$2:$P$501,A141))</f>
        <v/>
      </c>
      <c r="I141" s="17">
        <f>IF(A141="","",COUNTIFS(Leads!$P$2:$P$501,A141,Leads!$I$2:$I$501,"Won",Leads!$N$2:$N$501,"&gt;="&amp;Settings!$B$7))</f>
        <v/>
      </c>
      <c r="J141" s="18">
        <f>IF(A141="","",SUMIF(Leads!$P$2:$P$501,A141,Leads!$Q$2:$Q$501))</f>
        <v/>
      </c>
      <c r="K141" s="18">
        <f>IF(A141="","",SUMIF(Leads!$P$2:$P$501,A141,Leads!$R$2:$R$501))</f>
        <v/>
      </c>
      <c r="L141" s="18">
        <f>IF(A141="","",IF(I141&gt;=3,Settings!$B$6,0))</f>
        <v/>
      </c>
      <c r="M141" s="18">
        <f>IF(A141="","",J141+L141)</f>
        <v/>
      </c>
      <c r="N141" s="18" t="n"/>
      <c r="O141" s="18">
        <f>IF(A141="","",M141-N141)</f>
        <v/>
      </c>
      <c r="P141" s="17" t="n"/>
    </row>
    <row r="142">
      <c r="A142" s="17" t="n"/>
      <c r="B142" s="17" t="n"/>
      <c r="C142" s="17" t="n"/>
      <c r="D142" s="17" t="n"/>
      <c r="E142" s="17" t="n"/>
      <c r="F142" s="16" t="n"/>
      <c r="G142" s="17" t="n"/>
      <c r="H142" s="17">
        <f>IF(A142="","",COUNTIF(Leads!$P$2:$P$501,A142))</f>
        <v/>
      </c>
      <c r="I142" s="17">
        <f>IF(A142="","",COUNTIFS(Leads!$P$2:$P$501,A142,Leads!$I$2:$I$501,"Won",Leads!$N$2:$N$501,"&gt;="&amp;Settings!$B$7))</f>
        <v/>
      </c>
      <c r="J142" s="18">
        <f>IF(A142="","",SUMIF(Leads!$P$2:$P$501,A142,Leads!$Q$2:$Q$501))</f>
        <v/>
      </c>
      <c r="K142" s="18">
        <f>IF(A142="","",SUMIF(Leads!$P$2:$P$501,A142,Leads!$R$2:$R$501))</f>
        <v/>
      </c>
      <c r="L142" s="18">
        <f>IF(A142="","",IF(I142&gt;=3,Settings!$B$6,0))</f>
        <v/>
      </c>
      <c r="M142" s="18">
        <f>IF(A142="","",J142+L142)</f>
        <v/>
      </c>
      <c r="N142" s="18" t="n"/>
      <c r="O142" s="18">
        <f>IF(A142="","",M142-N142)</f>
        <v/>
      </c>
      <c r="P142" s="17" t="n"/>
    </row>
    <row r="143">
      <c r="A143" s="17" t="n"/>
      <c r="B143" s="17" t="n"/>
      <c r="C143" s="17" t="n"/>
      <c r="D143" s="17" t="n"/>
      <c r="E143" s="17" t="n"/>
      <c r="F143" s="16" t="n"/>
      <c r="G143" s="17" t="n"/>
      <c r="H143" s="17">
        <f>IF(A143="","",COUNTIF(Leads!$P$2:$P$501,A143))</f>
        <v/>
      </c>
      <c r="I143" s="17">
        <f>IF(A143="","",COUNTIFS(Leads!$P$2:$P$501,A143,Leads!$I$2:$I$501,"Won",Leads!$N$2:$N$501,"&gt;="&amp;Settings!$B$7))</f>
        <v/>
      </c>
      <c r="J143" s="18">
        <f>IF(A143="","",SUMIF(Leads!$P$2:$P$501,A143,Leads!$Q$2:$Q$501))</f>
        <v/>
      </c>
      <c r="K143" s="18">
        <f>IF(A143="","",SUMIF(Leads!$P$2:$P$501,A143,Leads!$R$2:$R$501))</f>
        <v/>
      </c>
      <c r="L143" s="18">
        <f>IF(A143="","",IF(I143&gt;=3,Settings!$B$6,0))</f>
        <v/>
      </c>
      <c r="M143" s="18">
        <f>IF(A143="","",J143+L143)</f>
        <v/>
      </c>
      <c r="N143" s="18" t="n"/>
      <c r="O143" s="18">
        <f>IF(A143="","",M143-N143)</f>
        <v/>
      </c>
      <c r="P143" s="17" t="n"/>
    </row>
    <row r="144">
      <c r="A144" s="17" t="n"/>
      <c r="B144" s="17" t="n"/>
      <c r="C144" s="17" t="n"/>
      <c r="D144" s="17" t="n"/>
      <c r="E144" s="17" t="n"/>
      <c r="F144" s="16" t="n"/>
      <c r="G144" s="17" t="n"/>
      <c r="H144" s="17">
        <f>IF(A144="","",COUNTIF(Leads!$P$2:$P$501,A144))</f>
        <v/>
      </c>
      <c r="I144" s="17">
        <f>IF(A144="","",COUNTIFS(Leads!$P$2:$P$501,A144,Leads!$I$2:$I$501,"Won",Leads!$N$2:$N$501,"&gt;="&amp;Settings!$B$7))</f>
        <v/>
      </c>
      <c r="J144" s="18">
        <f>IF(A144="","",SUMIF(Leads!$P$2:$P$501,A144,Leads!$Q$2:$Q$501))</f>
        <v/>
      </c>
      <c r="K144" s="18">
        <f>IF(A144="","",SUMIF(Leads!$P$2:$P$501,A144,Leads!$R$2:$R$501))</f>
        <v/>
      </c>
      <c r="L144" s="18">
        <f>IF(A144="","",IF(I144&gt;=3,Settings!$B$6,0))</f>
        <v/>
      </c>
      <c r="M144" s="18">
        <f>IF(A144="","",J144+L144)</f>
        <v/>
      </c>
      <c r="N144" s="18" t="n"/>
      <c r="O144" s="18">
        <f>IF(A144="","",M144-N144)</f>
        <v/>
      </c>
      <c r="P144" s="17" t="n"/>
    </row>
    <row r="145">
      <c r="A145" s="17" t="n"/>
      <c r="B145" s="17" t="n"/>
      <c r="C145" s="17" t="n"/>
      <c r="D145" s="17" t="n"/>
      <c r="E145" s="17" t="n"/>
      <c r="F145" s="16" t="n"/>
      <c r="G145" s="17" t="n"/>
      <c r="H145" s="17">
        <f>IF(A145="","",COUNTIF(Leads!$P$2:$P$501,A145))</f>
        <v/>
      </c>
      <c r="I145" s="17">
        <f>IF(A145="","",COUNTIFS(Leads!$P$2:$P$501,A145,Leads!$I$2:$I$501,"Won",Leads!$N$2:$N$501,"&gt;="&amp;Settings!$B$7))</f>
        <v/>
      </c>
      <c r="J145" s="18">
        <f>IF(A145="","",SUMIF(Leads!$P$2:$P$501,A145,Leads!$Q$2:$Q$501))</f>
        <v/>
      </c>
      <c r="K145" s="18">
        <f>IF(A145="","",SUMIF(Leads!$P$2:$P$501,A145,Leads!$R$2:$R$501))</f>
        <v/>
      </c>
      <c r="L145" s="18">
        <f>IF(A145="","",IF(I145&gt;=3,Settings!$B$6,0))</f>
        <v/>
      </c>
      <c r="M145" s="18">
        <f>IF(A145="","",J145+L145)</f>
        <v/>
      </c>
      <c r="N145" s="18" t="n"/>
      <c r="O145" s="18">
        <f>IF(A145="","",M145-N145)</f>
        <v/>
      </c>
      <c r="P145" s="17" t="n"/>
    </row>
    <row r="146">
      <c r="A146" s="17" t="n"/>
      <c r="B146" s="17" t="n"/>
      <c r="C146" s="17" t="n"/>
      <c r="D146" s="17" t="n"/>
      <c r="E146" s="17" t="n"/>
      <c r="F146" s="16" t="n"/>
      <c r="G146" s="17" t="n"/>
      <c r="H146" s="17">
        <f>IF(A146="","",COUNTIF(Leads!$P$2:$P$501,A146))</f>
        <v/>
      </c>
      <c r="I146" s="17">
        <f>IF(A146="","",COUNTIFS(Leads!$P$2:$P$501,A146,Leads!$I$2:$I$501,"Won",Leads!$N$2:$N$501,"&gt;="&amp;Settings!$B$7))</f>
        <v/>
      </c>
      <c r="J146" s="18">
        <f>IF(A146="","",SUMIF(Leads!$P$2:$P$501,A146,Leads!$Q$2:$Q$501))</f>
        <v/>
      </c>
      <c r="K146" s="18">
        <f>IF(A146="","",SUMIF(Leads!$P$2:$P$501,A146,Leads!$R$2:$R$501))</f>
        <v/>
      </c>
      <c r="L146" s="18">
        <f>IF(A146="","",IF(I146&gt;=3,Settings!$B$6,0))</f>
        <v/>
      </c>
      <c r="M146" s="18">
        <f>IF(A146="","",J146+L146)</f>
        <v/>
      </c>
      <c r="N146" s="18" t="n"/>
      <c r="O146" s="18">
        <f>IF(A146="","",M146-N146)</f>
        <v/>
      </c>
      <c r="P146" s="17" t="n"/>
    </row>
    <row r="147">
      <c r="A147" s="17" t="n"/>
      <c r="B147" s="17" t="n"/>
      <c r="C147" s="17" t="n"/>
      <c r="D147" s="17" t="n"/>
      <c r="E147" s="17" t="n"/>
      <c r="F147" s="16" t="n"/>
      <c r="G147" s="17" t="n"/>
      <c r="H147" s="17">
        <f>IF(A147="","",COUNTIF(Leads!$P$2:$P$501,A147))</f>
        <v/>
      </c>
      <c r="I147" s="17">
        <f>IF(A147="","",COUNTIFS(Leads!$P$2:$P$501,A147,Leads!$I$2:$I$501,"Won",Leads!$N$2:$N$501,"&gt;="&amp;Settings!$B$7))</f>
        <v/>
      </c>
      <c r="J147" s="18">
        <f>IF(A147="","",SUMIF(Leads!$P$2:$P$501,A147,Leads!$Q$2:$Q$501))</f>
        <v/>
      </c>
      <c r="K147" s="18">
        <f>IF(A147="","",SUMIF(Leads!$P$2:$P$501,A147,Leads!$R$2:$R$501))</f>
        <v/>
      </c>
      <c r="L147" s="18">
        <f>IF(A147="","",IF(I147&gt;=3,Settings!$B$6,0))</f>
        <v/>
      </c>
      <c r="M147" s="18">
        <f>IF(A147="","",J147+L147)</f>
        <v/>
      </c>
      <c r="N147" s="18" t="n"/>
      <c r="O147" s="18">
        <f>IF(A147="","",M147-N147)</f>
        <v/>
      </c>
      <c r="P147" s="17" t="n"/>
    </row>
    <row r="148">
      <c r="A148" s="17" t="n"/>
      <c r="B148" s="17" t="n"/>
      <c r="C148" s="17" t="n"/>
      <c r="D148" s="17" t="n"/>
      <c r="E148" s="17" t="n"/>
      <c r="F148" s="16" t="n"/>
      <c r="G148" s="17" t="n"/>
      <c r="H148" s="17">
        <f>IF(A148="","",COUNTIF(Leads!$P$2:$P$501,A148))</f>
        <v/>
      </c>
      <c r="I148" s="17">
        <f>IF(A148="","",COUNTIFS(Leads!$P$2:$P$501,A148,Leads!$I$2:$I$501,"Won",Leads!$N$2:$N$501,"&gt;="&amp;Settings!$B$7))</f>
        <v/>
      </c>
      <c r="J148" s="18">
        <f>IF(A148="","",SUMIF(Leads!$P$2:$P$501,A148,Leads!$Q$2:$Q$501))</f>
        <v/>
      </c>
      <c r="K148" s="18">
        <f>IF(A148="","",SUMIF(Leads!$P$2:$P$501,A148,Leads!$R$2:$R$501))</f>
        <v/>
      </c>
      <c r="L148" s="18">
        <f>IF(A148="","",IF(I148&gt;=3,Settings!$B$6,0))</f>
        <v/>
      </c>
      <c r="M148" s="18">
        <f>IF(A148="","",J148+L148)</f>
        <v/>
      </c>
      <c r="N148" s="18" t="n"/>
      <c r="O148" s="18">
        <f>IF(A148="","",M148-N148)</f>
        <v/>
      </c>
      <c r="P148" s="17" t="n"/>
    </row>
    <row r="149">
      <c r="A149" s="17" t="n"/>
      <c r="B149" s="17" t="n"/>
      <c r="C149" s="17" t="n"/>
      <c r="D149" s="17" t="n"/>
      <c r="E149" s="17" t="n"/>
      <c r="F149" s="16" t="n"/>
      <c r="G149" s="17" t="n"/>
      <c r="H149" s="17">
        <f>IF(A149="","",COUNTIF(Leads!$P$2:$P$501,A149))</f>
        <v/>
      </c>
      <c r="I149" s="17">
        <f>IF(A149="","",COUNTIFS(Leads!$P$2:$P$501,A149,Leads!$I$2:$I$501,"Won",Leads!$N$2:$N$501,"&gt;="&amp;Settings!$B$7))</f>
        <v/>
      </c>
      <c r="J149" s="18">
        <f>IF(A149="","",SUMIF(Leads!$P$2:$P$501,A149,Leads!$Q$2:$Q$501))</f>
        <v/>
      </c>
      <c r="K149" s="18">
        <f>IF(A149="","",SUMIF(Leads!$P$2:$P$501,A149,Leads!$R$2:$R$501))</f>
        <v/>
      </c>
      <c r="L149" s="18">
        <f>IF(A149="","",IF(I149&gt;=3,Settings!$B$6,0))</f>
        <v/>
      </c>
      <c r="M149" s="18">
        <f>IF(A149="","",J149+L149)</f>
        <v/>
      </c>
      <c r="N149" s="18" t="n"/>
      <c r="O149" s="18">
        <f>IF(A149="","",M149-N149)</f>
        <v/>
      </c>
      <c r="P149" s="17" t="n"/>
    </row>
    <row r="150">
      <c r="A150" s="17" t="n"/>
      <c r="B150" s="17" t="n"/>
      <c r="C150" s="17" t="n"/>
      <c r="D150" s="17" t="n"/>
      <c r="E150" s="17" t="n"/>
      <c r="F150" s="16" t="n"/>
      <c r="G150" s="17" t="n"/>
      <c r="H150" s="17">
        <f>IF(A150="","",COUNTIF(Leads!$P$2:$P$501,A150))</f>
        <v/>
      </c>
      <c r="I150" s="17">
        <f>IF(A150="","",COUNTIFS(Leads!$P$2:$P$501,A150,Leads!$I$2:$I$501,"Won",Leads!$N$2:$N$501,"&gt;="&amp;Settings!$B$7))</f>
        <v/>
      </c>
      <c r="J150" s="18">
        <f>IF(A150="","",SUMIF(Leads!$P$2:$P$501,A150,Leads!$Q$2:$Q$501))</f>
        <v/>
      </c>
      <c r="K150" s="18">
        <f>IF(A150="","",SUMIF(Leads!$P$2:$P$501,A150,Leads!$R$2:$R$501))</f>
        <v/>
      </c>
      <c r="L150" s="18">
        <f>IF(A150="","",IF(I150&gt;=3,Settings!$B$6,0))</f>
        <v/>
      </c>
      <c r="M150" s="18">
        <f>IF(A150="","",J150+L150)</f>
        <v/>
      </c>
      <c r="N150" s="18" t="n"/>
      <c r="O150" s="18">
        <f>IF(A150="","",M150-N150)</f>
        <v/>
      </c>
      <c r="P150" s="17" t="n"/>
    </row>
    <row r="151">
      <c r="A151" s="17" t="n"/>
      <c r="B151" s="17" t="n"/>
      <c r="C151" s="17" t="n"/>
      <c r="D151" s="17" t="n"/>
      <c r="E151" s="17" t="n"/>
      <c r="F151" s="16" t="n"/>
      <c r="G151" s="17" t="n"/>
      <c r="H151" s="17">
        <f>IF(A151="","",COUNTIF(Leads!$P$2:$P$501,A151))</f>
        <v/>
      </c>
      <c r="I151" s="17">
        <f>IF(A151="","",COUNTIFS(Leads!$P$2:$P$501,A151,Leads!$I$2:$I$501,"Won",Leads!$N$2:$N$501,"&gt;="&amp;Settings!$B$7))</f>
        <v/>
      </c>
      <c r="J151" s="18">
        <f>IF(A151="","",SUMIF(Leads!$P$2:$P$501,A151,Leads!$Q$2:$Q$501))</f>
        <v/>
      </c>
      <c r="K151" s="18">
        <f>IF(A151="","",SUMIF(Leads!$P$2:$P$501,A151,Leads!$R$2:$R$501))</f>
        <v/>
      </c>
      <c r="L151" s="18">
        <f>IF(A151="","",IF(I151&gt;=3,Settings!$B$6,0))</f>
        <v/>
      </c>
      <c r="M151" s="18">
        <f>IF(A151="","",J151+L151)</f>
        <v/>
      </c>
      <c r="N151" s="18" t="n"/>
      <c r="O151" s="18">
        <f>IF(A151="","",M151-N151)</f>
        <v/>
      </c>
      <c r="P151" s="17" t="n"/>
    </row>
    <row r="152">
      <c r="A152" s="17" t="n"/>
      <c r="B152" s="17" t="n"/>
      <c r="C152" s="17" t="n"/>
      <c r="D152" s="17" t="n"/>
      <c r="E152" s="17" t="n"/>
      <c r="F152" s="16" t="n"/>
      <c r="G152" s="17" t="n"/>
      <c r="H152" s="17">
        <f>IF(A152="","",COUNTIF(Leads!$P$2:$P$501,A152))</f>
        <v/>
      </c>
      <c r="I152" s="17">
        <f>IF(A152="","",COUNTIFS(Leads!$P$2:$P$501,A152,Leads!$I$2:$I$501,"Won",Leads!$N$2:$N$501,"&gt;="&amp;Settings!$B$7))</f>
        <v/>
      </c>
      <c r="J152" s="18">
        <f>IF(A152="","",SUMIF(Leads!$P$2:$P$501,A152,Leads!$Q$2:$Q$501))</f>
        <v/>
      </c>
      <c r="K152" s="18">
        <f>IF(A152="","",SUMIF(Leads!$P$2:$P$501,A152,Leads!$R$2:$R$501))</f>
        <v/>
      </c>
      <c r="L152" s="18">
        <f>IF(A152="","",IF(I152&gt;=3,Settings!$B$6,0))</f>
        <v/>
      </c>
      <c r="M152" s="18">
        <f>IF(A152="","",J152+L152)</f>
        <v/>
      </c>
      <c r="N152" s="18" t="n"/>
      <c r="O152" s="18">
        <f>IF(A152="","",M152-N152)</f>
        <v/>
      </c>
      <c r="P152" s="17" t="n"/>
    </row>
    <row r="153">
      <c r="A153" s="17" t="n"/>
      <c r="B153" s="17" t="n"/>
      <c r="C153" s="17" t="n"/>
      <c r="D153" s="17" t="n"/>
      <c r="E153" s="17" t="n"/>
      <c r="F153" s="16" t="n"/>
      <c r="G153" s="17" t="n"/>
      <c r="H153" s="17">
        <f>IF(A153="","",COUNTIF(Leads!$P$2:$P$501,A153))</f>
        <v/>
      </c>
      <c r="I153" s="17">
        <f>IF(A153="","",COUNTIFS(Leads!$P$2:$P$501,A153,Leads!$I$2:$I$501,"Won",Leads!$N$2:$N$501,"&gt;="&amp;Settings!$B$7))</f>
        <v/>
      </c>
      <c r="J153" s="18">
        <f>IF(A153="","",SUMIF(Leads!$P$2:$P$501,A153,Leads!$Q$2:$Q$501))</f>
        <v/>
      </c>
      <c r="K153" s="18">
        <f>IF(A153="","",SUMIF(Leads!$P$2:$P$501,A153,Leads!$R$2:$R$501))</f>
        <v/>
      </c>
      <c r="L153" s="18">
        <f>IF(A153="","",IF(I153&gt;=3,Settings!$B$6,0))</f>
        <v/>
      </c>
      <c r="M153" s="18">
        <f>IF(A153="","",J153+L153)</f>
        <v/>
      </c>
      <c r="N153" s="18" t="n"/>
      <c r="O153" s="18">
        <f>IF(A153="","",M153-N153)</f>
        <v/>
      </c>
      <c r="P153" s="17" t="n"/>
    </row>
    <row r="154">
      <c r="A154" s="17" t="n"/>
      <c r="B154" s="17" t="n"/>
      <c r="C154" s="17" t="n"/>
      <c r="D154" s="17" t="n"/>
      <c r="E154" s="17" t="n"/>
      <c r="F154" s="16" t="n"/>
      <c r="G154" s="17" t="n"/>
      <c r="H154" s="17">
        <f>IF(A154="","",COUNTIF(Leads!$P$2:$P$501,A154))</f>
        <v/>
      </c>
      <c r="I154" s="17">
        <f>IF(A154="","",COUNTIFS(Leads!$P$2:$P$501,A154,Leads!$I$2:$I$501,"Won",Leads!$N$2:$N$501,"&gt;="&amp;Settings!$B$7))</f>
        <v/>
      </c>
      <c r="J154" s="18">
        <f>IF(A154="","",SUMIF(Leads!$P$2:$P$501,A154,Leads!$Q$2:$Q$501))</f>
        <v/>
      </c>
      <c r="K154" s="18">
        <f>IF(A154="","",SUMIF(Leads!$P$2:$P$501,A154,Leads!$R$2:$R$501))</f>
        <v/>
      </c>
      <c r="L154" s="18">
        <f>IF(A154="","",IF(I154&gt;=3,Settings!$B$6,0))</f>
        <v/>
      </c>
      <c r="M154" s="18">
        <f>IF(A154="","",J154+L154)</f>
        <v/>
      </c>
      <c r="N154" s="18" t="n"/>
      <c r="O154" s="18">
        <f>IF(A154="","",M154-N154)</f>
        <v/>
      </c>
      <c r="P154" s="17" t="n"/>
    </row>
    <row r="155">
      <c r="A155" s="17" t="n"/>
      <c r="B155" s="17" t="n"/>
      <c r="C155" s="17" t="n"/>
      <c r="D155" s="17" t="n"/>
      <c r="E155" s="17" t="n"/>
      <c r="F155" s="16" t="n"/>
      <c r="G155" s="17" t="n"/>
      <c r="H155" s="17">
        <f>IF(A155="","",COUNTIF(Leads!$P$2:$P$501,A155))</f>
        <v/>
      </c>
      <c r="I155" s="17">
        <f>IF(A155="","",COUNTIFS(Leads!$P$2:$P$501,A155,Leads!$I$2:$I$501,"Won",Leads!$N$2:$N$501,"&gt;="&amp;Settings!$B$7))</f>
        <v/>
      </c>
      <c r="J155" s="18">
        <f>IF(A155="","",SUMIF(Leads!$P$2:$P$501,A155,Leads!$Q$2:$Q$501))</f>
        <v/>
      </c>
      <c r="K155" s="18">
        <f>IF(A155="","",SUMIF(Leads!$P$2:$P$501,A155,Leads!$R$2:$R$501))</f>
        <v/>
      </c>
      <c r="L155" s="18">
        <f>IF(A155="","",IF(I155&gt;=3,Settings!$B$6,0))</f>
        <v/>
      </c>
      <c r="M155" s="18">
        <f>IF(A155="","",J155+L155)</f>
        <v/>
      </c>
      <c r="N155" s="18" t="n"/>
      <c r="O155" s="18">
        <f>IF(A155="","",M155-N155)</f>
        <v/>
      </c>
      <c r="P155" s="17" t="n"/>
    </row>
    <row r="156">
      <c r="A156" s="17" t="n"/>
      <c r="B156" s="17" t="n"/>
      <c r="C156" s="17" t="n"/>
      <c r="D156" s="17" t="n"/>
      <c r="E156" s="17" t="n"/>
      <c r="F156" s="16" t="n"/>
      <c r="G156" s="17" t="n"/>
      <c r="H156" s="17">
        <f>IF(A156="","",COUNTIF(Leads!$P$2:$P$501,A156))</f>
        <v/>
      </c>
      <c r="I156" s="17">
        <f>IF(A156="","",COUNTIFS(Leads!$P$2:$P$501,A156,Leads!$I$2:$I$501,"Won",Leads!$N$2:$N$501,"&gt;="&amp;Settings!$B$7))</f>
        <v/>
      </c>
      <c r="J156" s="18">
        <f>IF(A156="","",SUMIF(Leads!$P$2:$P$501,A156,Leads!$Q$2:$Q$501))</f>
        <v/>
      </c>
      <c r="K156" s="18">
        <f>IF(A156="","",SUMIF(Leads!$P$2:$P$501,A156,Leads!$R$2:$R$501))</f>
        <v/>
      </c>
      <c r="L156" s="18">
        <f>IF(A156="","",IF(I156&gt;=3,Settings!$B$6,0))</f>
        <v/>
      </c>
      <c r="M156" s="18">
        <f>IF(A156="","",J156+L156)</f>
        <v/>
      </c>
      <c r="N156" s="18" t="n"/>
      <c r="O156" s="18">
        <f>IF(A156="","",M156-N156)</f>
        <v/>
      </c>
      <c r="P156" s="17" t="n"/>
    </row>
    <row r="157">
      <c r="A157" s="17" t="n"/>
      <c r="B157" s="17" t="n"/>
      <c r="C157" s="17" t="n"/>
      <c r="D157" s="17" t="n"/>
      <c r="E157" s="17" t="n"/>
      <c r="F157" s="16" t="n"/>
      <c r="G157" s="17" t="n"/>
      <c r="H157" s="17">
        <f>IF(A157="","",COUNTIF(Leads!$P$2:$P$501,A157))</f>
        <v/>
      </c>
      <c r="I157" s="17">
        <f>IF(A157="","",COUNTIFS(Leads!$P$2:$P$501,A157,Leads!$I$2:$I$501,"Won",Leads!$N$2:$N$501,"&gt;="&amp;Settings!$B$7))</f>
        <v/>
      </c>
      <c r="J157" s="18">
        <f>IF(A157="","",SUMIF(Leads!$P$2:$P$501,A157,Leads!$Q$2:$Q$501))</f>
        <v/>
      </c>
      <c r="K157" s="18">
        <f>IF(A157="","",SUMIF(Leads!$P$2:$P$501,A157,Leads!$R$2:$R$501))</f>
        <v/>
      </c>
      <c r="L157" s="18">
        <f>IF(A157="","",IF(I157&gt;=3,Settings!$B$6,0))</f>
        <v/>
      </c>
      <c r="M157" s="18">
        <f>IF(A157="","",J157+L157)</f>
        <v/>
      </c>
      <c r="N157" s="18" t="n"/>
      <c r="O157" s="18">
        <f>IF(A157="","",M157-N157)</f>
        <v/>
      </c>
      <c r="P157" s="17" t="n"/>
    </row>
    <row r="158">
      <c r="A158" s="17" t="n"/>
      <c r="B158" s="17" t="n"/>
      <c r="C158" s="17" t="n"/>
      <c r="D158" s="17" t="n"/>
      <c r="E158" s="17" t="n"/>
      <c r="F158" s="16" t="n"/>
      <c r="G158" s="17" t="n"/>
      <c r="H158" s="17">
        <f>IF(A158="","",COUNTIF(Leads!$P$2:$P$501,A158))</f>
        <v/>
      </c>
      <c r="I158" s="17">
        <f>IF(A158="","",COUNTIFS(Leads!$P$2:$P$501,A158,Leads!$I$2:$I$501,"Won",Leads!$N$2:$N$501,"&gt;="&amp;Settings!$B$7))</f>
        <v/>
      </c>
      <c r="J158" s="18">
        <f>IF(A158="","",SUMIF(Leads!$P$2:$P$501,A158,Leads!$Q$2:$Q$501))</f>
        <v/>
      </c>
      <c r="K158" s="18">
        <f>IF(A158="","",SUMIF(Leads!$P$2:$P$501,A158,Leads!$R$2:$R$501))</f>
        <v/>
      </c>
      <c r="L158" s="18">
        <f>IF(A158="","",IF(I158&gt;=3,Settings!$B$6,0))</f>
        <v/>
      </c>
      <c r="M158" s="18">
        <f>IF(A158="","",J158+L158)</f>
        <v/>
      </c>
      <c r="N158" s="18" t="n"/>
      <c r="O158" s="18">
        <f>IF(A158="","",M158-N158)</f>
        <v/>
      </c>
      <c r="P158" s="17" t="n"/>
    </row>
    <row r="159">
      <c r="A159" s="17" t="n"/>
      <c r="B159" s="17" t="n"/>
      <c r="C159" s="17" t="n"/>
      <c r="D159" s="17" t="n"/>
      <c r="E159" s="17" t="n"/>
      <c r="F159" s="16" t="n"/>
      <c r="G159" s="17" t="n"/>
      <c r="H159" s="17">
        <f>IF(A159="","",COUNTIF(Leads!$P$2:$P$501,A159))</f>
        <v/>
      </c>
      <c r="I159" s="17">
        <f>IF(A159="","",COUNTIFS(Leads!$P$2:$P$501,A159,Leads!$I$2:$I$501,"Won",Leads!$N$2:$N$501,"&gt;="&amp;Settings!$B$7))</f>
        <v/>
      </c>
      <c r="J159" s="18">
        <f>IF(A159="","",SUMIF(Leads!$P$2:$P$501,A159,Leads!$Q$2:$Q$501))</f>
        <v/>
      </c>
      <c r="K159" s="18">
        <f>IF(A159="","",SUMIF(Leads!$P$2:$P$501,A159,Leads!$R$2:$R$501))</f>
        <v/>
      </c>
      <c r="L159" s="18">
        <f>IF(A159="","",IF(I159&gt;=3,Settings!$B$6,0))</f>
        <v/>
      </c>
      <c r="M159" s="18">
        <f>IF(A159="","",J159+L159)</f>
        <v/>
      </c>
      <c r="N159" s="18" t="n"/>
      <c r="O159" s="18">
        <f>IF(A159="","",M159-N159)</f>
        <v/>
      </c>
      <c r="P159" s="17" t="n"/>
    </row>
    <row r="160">
      <c r="A160" s="17" t="n"/>
      <c r="B160" s="17" t="n"/>
      <c r="C160" s="17" t="n"/>
      <c r="D160" s="17" t="n"/>
      <c r="E160" s="17" t="n"/>
      <c r="F160" s="16" t="n"/>
      <c r="G160" s="17" t="n"/>
      <c r="H160" s="17">
        <f>IF(A160="","",COUNTIF(Leads!$P$2:$P$501,A160))</f>
        <v/>
      </c>
      <c r="I160" s="17">
        <f>IF(A160="","",COUNTIFS(Leads!$P$2:$P$501,A160,Leads!$I$2:$I$501,"Won",Leads!$N$2:$N$501,"&gt;="&amp;Settings!$B$7))</f>
        <v/>
      </c>
      <c r="J160" s="18">
        <f>IF(A160="","",SUMIF(Leads!$P$2:$P$501,A160,Leads!$Q$2:$Q$501))</f>
        <v/>
      </c>
      <c r="K160" s="18">
        <f>IF(A160="","",SUMIF(Leads!$P$2:$P$501,A160,Leads!$R$2:$R$501))</f>
        <v/>
      </c>
      <c r="L160" s="18">
        <f>IF(A160="","",IF(I160&gt;=3,Settings!$B$6,0))</f>
        <v/>
      </c>
      <c r="M160" s="18">
        <f>IF(A160="","",J160+L160)</f>
        <v/>
      </c>
      <c r="N160" s="18" t="n"/>
      <c r="O160" s="18">
        <f>IF(A160="","",M160-N160)</f>
        <v/>
      </c>
      <c r="P160" s="17" t="n"/>
    </row>
    <row r="161">
      <c r="A161" s="17" t="n"/>
      <c r="B161" s="17" t="n"/>
      <c r="C161" s="17" t="n"/>
      <c r="D161" s="17" t="n"/>
      <c r="E161" s="17" t="n"/>
      <c r="F161" s="16" t="n"/>
      <c r="G161" s="17" t="n"/>
      <c r="H161" s="17">
        <f>IF(A161="","",COUNTIF(Leads!$P$2:$P$501,A161))</f>
        <v/>
      </c>
      <c r="I161" s="17">
        <f>IF(A161="","",COUNTIFS(Leads!$P$2:$P$501,A161,Leads!$I$2:$I$501,"Won",Leads!$N$2:$N$501,"&gt;="&amp;Settings!$B$7))</f>
        <v/>
      </c>
      <c r="J161" s="18">
        <f>IF(A161="","",SUMIF(Leads!$P$2:$P$501,A161,Leads!$Q$2:$Q$501))</f>
        <v/>
      </c>
      <c r="K161" s="18">
        <f>IF(A161="","",SUMIF(Leads!$P$2:$P$501,A161,Leads!$R$2:$R$501))</f>
        <v/>
      </c>
      <c r="L161" s="18">
        <f>IF(A161="","",IF(I161&gt;=3,Settings!$B$6,0))</f>
        <v/>
      </c>
      <c r="M161" s="18">
        <f>IF(A161="","",J161+L161)</f>
        <v/>
      </c>
      <c r="N161" s="18" t="n"/>
      <c r="O161" s="18">
        <f>IF(A161="","",M161-N161)</f>
        <v/>
      </c>
      <c r="P161" s="17" t="n"/>
    </row>
    <row r="162">
      <c r="A162" s="17" t="n"/>
      <c r="B162" s="17" t="n"/>
      <c r="C162" s="17" t="n"/>
      <c r="D162" s="17" t="n"/>
      <c r="E162" s="17" t="n"/>
      <c r="F162" s="16" t="n"/>
      <c r="G162" s="17" t="n"/>
      <c r="H162" s="17">
        <f>IF(A162="","",COUNTIF(Leads!$P$2:$P$501,A162))</f>
        <v/>
      </c>
      <c r="I162" s="17">
        <f>IF(A162="","",COUNTIFS(Leads!$P$2:$P$501,A162,Leads!$I$2:$I$501,"Won",Leads!$N$2:$N$501,"&gt;="&amp;Settings!$B$7))</f>
        <v/>
      </c>
      <c r="J162" s="18">
        <f>IF(A162="","",SUMIF(Leads!$P$2:$P$501,A162,Leads!$Q$2:$Q$501))</f>
        <v/>
      </c>
      <c r="K162" s="18">
        <f>IF(A162="","",SUMIF(Leads!$P$2:$P$501,A162,Leads!$R$2:$R$501))</f>
        <v/>
      </c>
      <c r="L162" s="18">
        <f>IF(A162="","",IF(I162&gt;=3,Settings!$B$6,0))</f>
        <v/>
      </c>
      <c r="M162" s="18">
        <f>IF(A162="","",J162+L162)</f>
        <v/>
      </c>
      <c r="N162" s="18" t="n"/>
      <c r="O162" s="18">
        <f>IF(A162="","",M162-N162)</f>
        <v/>
      </c>
      <c r="P162" s="17" t="n"/>
    </row>
    <row r="163">
      <c r="A163" s="17" t="n"/>
      <c r="B163" s="17" t="n"/>
      <c r="C163" s="17" t="n"/>
      <c r="D163" s="17" t="n"/>
      <c r="E163" s="17" t="n"/>
      <c r="F163" s="16" t="n"/>
      <c r="G163" s="17" t="n"/>
      <c r="H163" s="17">
        <f>IF(A163="","",COUNTIF(Leads!$P$2:$P$501,A163))</f>
        <v/>
      </c>
      <c r="I163" s="17">
        <f>IF(A163="","",COUNTIFS(Leads!$P$2:$P$501,A163,Leads!$I$2:$I$501,"Won",Leads!$N$2:$N$501,"&gt;="&amp;Settings!$B$7))</f>
        <v/>
      </c>
      <c r="J163" s="18">
        <f>IF(A163="","",SUMIF(Leads!$P$2:$P$501,A163,Leads!$Q$2:$Q$501))</f>
        <v/>
      </c>
      <c r="K163" s="18">
        <f>IF(A163="","",SUMIF(Leads!$P$2:$P$501,A163,Leads!$R$2:$R$501))</f>
        <v/>
      </c>
      <c r="L163" s="18">
        <f>IF(A163="","",IF(I163&gt;=3,Settings!$B$6,0))</f>
        <v/>
      </c>
      <c r="M163" s="18">
        <f>IF(A163="","",J163+L163)</f>
        <v/>
      </c>
      <c r="N163" s="18" t="n"/>
      <c r="O163" s="18">
        <f>IF(A163="","",M163-N163)</f>
        <v/>
      </c>
      <c r="P163" s="17" t="n"/>
    </row>
    <row r="164">
      <c r="A164" s="17" t="n"/>
      <c r="B164" s="17" t="n"/>
      <c r="C164" s="17" t="n"/>
      <c r="D164" s="17" t="n"/>
      <c r="E164" s="17" t="n"/>
      <c r="F164" s="16" t="n"/>
      <c r="G164" s="17" t="n"/>
      <c r="H164" s="17">
        <f>IF(A164="","",COUNTIF(Leads!$P$2:$P$501,A164))</f>
        <v/>
      </c>
      <c r="I164" s="17">
        <f>IF(A164="","",COUNTIFS(Leads!$P$2:$P$501,A164,Leads!$I$2:$I$501,"Won",Leads!$N$2:$N$501,"&gt;="&amp;Settings!$B$7))</f>
        <v/>
      </c>
      <c r="J164" s="18">
        <f>IF(A164="","",SUMIF(Leads!$P$2:$P$501,A164,Leads!$Q$2:$Q$501))</f>
        <v/>
      </c>
      <c r="K164" s="18">
        <f>IF(A164="","",SUMIF(Leads!$P$2:$P$501,A164,Leads!$R$2:$R$501))</f>
        <v/>
      </c>
      <c r="L164" s="18">
        <f>IF(A164="","",IF(I164&gt;=3,Settings!$B$6,0))</f>
        <v/>
      </c>
      <c r="M164" s="18">
        <f>IF(A164="","",J164+L164)</f>
        <v/>
      </c>
      <c r="N164" s="18" t="n"/>
      <c r="O164" s="18">
        <f>IF(A164="","",M164-N164)</f>
        <v/>
      </c>
      <c r="P164" s="17" t="n"/>
    </row>
    <row r="165">
      <c r="A165" s="17" t="n"/>
      <c r="B165" s="17" t="n"/>
      <c r="C165" s="17" t="n"/>
      <c r="D165" s="17" t="n"/>
      <c r="E165" s="17" t="n"/>
      <c r="F165" s="16" t="n"/>
      <c r="G165" s="17" t="n"/>
      <c r="H165" s="17">
        <f>IF(A165="","",COUNTIF(Leads!$P$2:$P$501,A165))</f>
        <v/>
      </c>
      <c r="I165" s="17">
        <f>IF(A165="","",COUNTIFS(Leads!$P$2:$P$501,A165,Leads!$I$2:$I$501,"Won",Leads!$N$2:$N$501,"&gt;="&amp;Settings!$B$7))</f>
        <v/>
      </c>
      <c r="J165" s="18">
        <f>IF(A165="","",SUMIF(Leads!$P$2:$P$501,A165,Leads!$Q$2:$Q$501))</f>
        <v/>
      </c>
      <c r="K165" s="18">
        <f>IF(A165="","",SUMIF(Leads!$P$2:$P$501,A165,Leads!$R$2:$R$501))</f>
        <v/>
      </c>
      <c r="L165" s="18">
        <f>IF(A165="","",IF(I165&gt;=3,Settings!$B$6,0))</f>
        <v/>
      </c>
      <c r="M165" s="18">
        <f>IF(A165="","",J165+L165)</f>
        <v/>
      </c>
      <c r="N165" s="18" t="n"/>
      <c r="O165" s="18">
        <f>IF(A165="","",M165-N165)</f>
        <v/>
      </c>
      <c r="P165" s="17" t="n"/>
    </row>
    <row r="166">
      <c r="A166" s="17" t="n"/>
      <c r="B166" s="17" t="n"/>
      <c r="C166" s="17" t="n"/>
      <c r="D166" s="17" t="n"/>
      <c r="E166" s="17" t="n"/>
      <c r="F166" s="16" t="n"/>
      <c r="G166" s="17" t="n"/>
      <c r="H166" s="17">
        <f>IF(A166="","",COUNTIF(Leads!$P$2:$P$501,A166))</f>
        <v/>
      </c>
      <c r="I166" s="17">
        <f>IF(A166="","",COUNTIFS(Leads!$P$2:$P$501,A166,Leads!$I$2:$I$501,"Won",Leads!$N$2:$N$501,"&gt;="&amp;Settings!$B$7))</f>
        <v/>
      </c>
      <c r="J166" s="18">
        <f>IF(A166="","",SUMIF(Leads!$P$2:$P$501,A166,Leads!$Q$2:$Q$501))</f>
        <v/>
      </c>
      <c r="K166" s="18">
        <f>IF(A166="","",SUMIF(Leads!$P$2:$P$501,A166,Leads!$R$2:$R$501))</f>
        <v/>
      </c>
      <c r="L166" s="18">
        <f>IF(A166="","",IF(I166&gt;=3,Settings!$B$6,0))</f>
        <v/>
      </c>
      <c r="M166" s="18">
        <f>IF(A166="","",J166+L166)</f>
        <v/>
      </c>
      <c r="N166" s="18" t="n"/>
      <c r="O166" s="18">
        <f>IF(A166="","",M166-N166)</f>
        <v/>
      </c>
      <c r="P166" s="17" t="n"/>
    </row>
    <row r="167">
      <c r="A167" s="17" t="n"/>
      <c r="B167" s="17" t="n"/>
      <c r="C167" s="17" t="n"/>
      <c r="D167" s="17" t="n"/>
      <c r="E167" s="17" t="n"/>
      <c r="F167" s="16" t="n"/>
      <c r="G167" s="17" t="n"/>
      <c r="H167" s="17">
        <f>IF(A167="","",COUNTIF(Leads!$P$2:$P$501,A167))</f>
        <v/>
      </c>
      <c r="I167" s="17">
        <f>IF(A167="","",COUNTIFS(Leads!$P$2:$P$501,A167,Leads!$I$2:$I$501,"Won",Leads!$N$2:$N$501,"&gt;="&amp;Settings!$B$7))</f>
        <v/>
      </c>
      <c r="J167" s="18">
        <f>IF(A167="","",SUMIF(Leads!$P$2:$P$501,A167,Leads!$Q$2:$Q$501))</f>
        <v/>
      </c>
      <c r="K167" s="18">
        <f>IF(A167="","",SUMIF(Leads!$P$2:$P$501,A167,Leads!$R$2:$R$501))</f>
        <v/>
      </c>
      <c r="L167" s="18">
        <f>IF(A167="","",IF(I167&gt;=3,Settings!$B$6,0))</f>
        <v/>
      </c>
      <c r="M167" s="18">
        <f>IF(A167="","",J167+L167)</f>
        <v/>
      </c>
      <c r="N167" s="18" t="n"/>
      <c r="O167" s="18">
        <f>IF(A167="","",M167-N167)</f>
        <v/>
      </c>
      <c r="P167" s="17" t="n"/>
    </row>
    <row r="168">
      <c r="A168" s="17" t="n"/>
      <c r="B168" s="17" t="n"/>
      <c r="C168" s="17" t="n"/>
      <c r="D168" s="17" t="n"/>
      <c r="E168" s="17" t="n"/>
      <c r="F168" s="16" t="n"/>
      <c r="G168" s="17" t="n"/>
      <c r="H168" s="17">
        <f>IF(A168="","",COUNTIF(Leads!$P$2:$P$501,A168))</f>
        <v/>
      </c>
      <c r="I168" s="17">
        <f>IF(A168="","",COUNTIFS(Leads!$P$2:$P$501,A168,Leads!$I$2:$I$501,"Won",Leads!$N$2:$N$501,"&gt;="&amp;Settings!$B$7))</f>
        <v/>
      </c>
      <c r="J168" s="18">
        <f>IF(A168="","",SUMIF(Leads!$P$2:$P$501,A168,Leads!$Q$2:$Q$501))</f>
        <v/>
      </c>
      <c r="K168" s="18">
        <f>IF(A168="","",SUMIF(Leads!$P$2:$P$501,A168,Leads!$R$2:$R$501))</f>
        <v/>
      </c>
      <c r="L168" s="18">
        <f>IF(A168="","",IF(I168&gt;=3,Settings!$B$6,0))</f>
        <v/>
      </c>
      <c r="M168" s="18">
        <f>IF(A168="","",J168+L168)</f>
        <v/>
      </c>
      <c r="N168" s="18" t="n"/>
      <c r="O168" s="18">
        <f>IF(A168="","",M168-N168)</f>
        <v/>
      </c>
      <c r="P168" s="17" t="n"/>
    </row>
    <row r="169">
      <c r="A169" s="17" t="n"/>
      <c r="B169" s="17" t="n"/>
      <c r="C169" s="17" t="n"/>
      <c r="D169" s="17" t="n"/>
      <c r="E169" s="17" t="n"/>
      <c r="F169" s="16" t="n"/>
      <c r="G169" s="17" t="n"/>
      <c r="H169" s="17">
        <f>IF(A169="","",COUNTIF(Leads!$P$2:$P$501,A169))</f>
        <v/>
      </c>
      <c r="I169" s="17">
        <f>IF(A169="","",COUNTIFS(Leads!$P$2:$P$501,A169,Leads!$I$2:$I$501,"Won",Leads!$N$2:$N$501,"&gt;="&amp;Settings!$B$7))</f>
        <v/>
      </c>
      <c r="J169" s="18">
        <f>IF(A169="","",SUMIF(Leads!$P$2:$P$501,A169,Leads!$Q$2:$Q$501))</f>
        <v/>
      </c>
      <c r="K169" s="18">
        <f>IF(A169="","",SUMIF(Leads!$P$2:$P$501,A169,Leads!$R$2:$R$501))</f>
        <v/>
      </c>
      <c r="L169" s="18">
        <f>IF(A169="","",IF(I169&gt;=3,Settings!$B$6,0))</f>
        <v/>
      </c>
      <c r="M169" s="18">
        <f>IF(A169="","",J169+L169)</f>
        <v/>
      </c>
      <c r="N169" s="18" t="n"/>
      <c r="O169" s="18">
        <f>IF(A169="","",M169-N169)</f>
        <v/>
      </c>
      <c r="P169" s="17" t="n"/>
    </row>
    <row r="170">
      <c r="A170" s="17" t="n"/>
      <c r="B170" s="17" t="n"/>
      <c r="C170" s="17" t="n"/>
      <c r="D170" s="17" t="n"/>
      <c r="E170" s="17" t="n"/>
      <c r="F170" s="16" t="n"/>
      <c r="G170" s="17" t="n"/>
      <c r="H170" s="17">
        <f>IF(A170="","",COUNTIF(Leads!$P$2:$P$501,A170))</f>
        <v/>
      </c>
      <c r="I170" s="17">
        <f>IF(A170="","",COUNTIFS(Leads!$P$2:$P$501,A170,Leads!$I$2:$I$501,"Won",Leads!$N$2:$N$501,"&gt;="&amp;Settings!$B$7))</f>
        <v/>
      </c>
      <c r="J170" s="18">
        <f>IF(A170="","",SUMIF(Leads!$P$2:$P$501,A170,Leads!$Q$2:$Q$501))</f>
        <v/>
      </c>
      <c r="K170" s="18">
        <f>IF(A170="","",SUMIF(Leads!$P$2:$P$501,A170,Leads!$R$2:$R$501))</f>
        <v/>
      </c>
      <c r="L170" s="18">
        <f>IF(A170="","",IF(I170&gt;=3,Settings!$B$6,0))</f>
        <v/>
      </c>
      <c r="M170" s="18">
        <f>IF(A170="","",J170+L170)</f>
        <v/>
      </c>
      <c r="N170" s="18" t="n"/>
      <c r="O170" s="18">
        <f>IF(A170="","",M170-N170)</f>
        <v/>
      </c>
      <c r="P170" s="17" t="n"/>
    </row>
    <row r="171">
      <c r="A171" s="17" t="n"/>
      <c r="B171" s="17" t="n"/>
      <c r="C171" s="17" t="n"/>
      <c r="D171" s="17" t="n"/>
      <c r="E171" s="17" t="n"/>
      <c r="F171" s="16" t="n"/>
      <c r="G171" s="17" t="n"/>
      <c r="H171" s="17">
        <f>IF(A171="","",COUNTIF(Leads!$P$2:$P$501,A171))</f>
        <v/>
      </c>
      <c r="I171" s="17">
        <f>IF(A171="","",COUNTIFS(Leads!$P$2:$P$501,A171,Leads!$I$2:$I$501,"Won",Leads!$N$2:$N$501,"&gt;="&amp;Settings!$B$7))</f>
        <v/>
      </c>
      <c r="J171" s="18">
        <f>IF(A171="","",SUMIF(Leads!$P$2:$P$501,A171,Leads!$Q$2:$Q$501))</f>
        <v/>
      </c>
      <c r="K171" s="18">
        <f>IF(A171="","",SUMIF(Leads!$P$2:$P$501,A171,Leads!$R$2:$R$501))</f>
        <v/>
      </c>
      <c r="L171" s="18">
        <f>IF(A171="","",IF(I171&gt;=3,Settings!$B$6,0))</f>
        <v/>
      </c>
      <c r="M171" s="18">
        <f>IF(A171="","",J171+L171)</f>
        <v/>
      </c>
      <c r="N171" s="18" t="n"/>
      <c r="O171" s="18">
        <f>IF(A171="","",M171-N171)</f>
        <v/>
      </c>
      <c r="P171" s="17" t="n"/>
    </row>
    <row r="172">
      <c r="A172" s="17" t="n"/>
      <c r="B172" s="17" t="n"/>
      <c r="C172" s="17" t="n"/>
      <c r="D172" s="17" t="n"/>
      <c r="E172" s="17" t="n"/>
      <c r="F172" s="16" t="n"/>
      <c r="G172" s="17" t="n"/>
      <c r="H172" s="17">
        <f>IF(A172="","",COUNTIF(Leads!$P$2:$P$501,A172))</f>
        <v/>
      </c>
      <c r="I172" s="17">
        <f>IF(A172="","",COUNTIFS(Leads!$P$2:$P$501,A172,Leads!$I$2:$I$501,"Won",Leads!$N$2:$N$501,"&gt;="&amp;Settings!$B$7))</f>
        <v/>
      </c>
      <c r="J172" s="18">
        <f>IF(A172="","",SUMIF(Leads!$P$2:$P$501,A172,Leads!$Q$2:$Q$501))</f>
        <v/>
      </c>
      <c r="K172" s="18">
        <f>IF(A172="","",SUMIF(Leads!$P$2:$P$501,A172,Leads!$R$2:$R$501))</f>
        <v/>
      </c>
      <c r="L172" s="18">
        <f>IF(A172="","",IF(I172&gt;=3,Settings!$B$6,0))</f>
        <v/>
      </c>
      <c r="M172" s="18">
        <f>IF(A172="","",J172+L172)</f>
        <v/>
      </c>
      <c r="N172" s="18" t="n"/>
      <c r="O172" s="18">
        <f>IF(A172="","",M172-N172)</f>
        <v/>
      </c>
      <c r="P172" s="17" t="n"/>
    </row>
    <row r="173">
      <c r="A173" s="17" t="n"/>
      <c r="B173" s="17" t="n"/>
      <c r="C173" s="17" t="n"/>
      <c r="D173" s="17" t="n"/>
      <c r="E173" s="17" t="n"/>
      <c r="F173" s="16" t="n"/>
      <c r="G173" s="17" t="n"/>
      <c r="H173" s="17">
        <f>IF(A173="","",COUNTIF(Leads!$P$2:$P$501,A173))</f>
        <v/>
      </c>
      <c r="I173" s="17">
        <f>IF(A173="","",COUNTIFS(Leads!$P$2:$P$501,A173,Leads!$I$2:$I$501,"Won",Leads!$N$2:$N$501,"&gt;="&amp;Settings!$B$7))</f>
        <v/>
      </c>
      <c r="J173" s="18">
        <f>IF(A173="","",SUMIF(Leads!$P$2:$P$501,A173,Leads!$Q$2:$Q$501))</f>
        <v/>
      </c>
      <c r="K173" s="18">
        <f>IF(A173="","",SUMIF(Leads!$P$2:$P$501,A173,Leads!$R$2:$R$501))</f>
        <v/>
      </c>
      <c r="L173" s="18">
        <f>IF(A173="","",IF(I173&gt;=3,Settings!$B$6,0))</f>
        <v/>
      </c>
      <c r="M173" s="18">
        <f>IF(A173="","",J173+L173)</f>
        <v/>
      </c>
      <c r="N173" s="18" t="n"/>
      <c r="O173" s="18">
        <f>IF(A173="","",M173-N173)</f>
        <v/>
      </c>
      <c r="P173" s="17" t="n"/>
    </row>
    <row r="174">
      <c r="A174" s="17" t="n"/>
      <c r="B174" s="17" t="n"/>
      <c r="C174" s="17" t="n"/>
      <c r="D174" s="17" t="n"/>
      <c r="E174" s="17" t="n"/>
      <c r="F174" s="16" t="n"/>
      <c r="G174" s="17" t="n"/>
      <c r="H174" s="17">
        <f>IF(A174="","",COUNTIF(Leads!$P$2:$P$501,A174))</f>
        <v/>
      </c>
      <c r="I174" s="17">
        <f>IF(A174="","",COUNTIFS(Leads!$P$2:$P$501,A174,Leads!$I$2:$I$501,"Won",Leads!$N$2:$N$501,"&gt;="&amp;Settings!$B$7))</f>
        <v/>
      </c>
      <c r="J174" s="18">
        <f>IF(A174="","",SUMIF(Leads!$P$2:$P$501,A174,Leads!$Q$2:$Q$501))</f>
        <v/>
      </c>
      <c r="K174" s="18">
        <f>IF(A174="","",SUMIF(Leads!$P$2:$P$501,A174,Leads!$R$2:$R$501))</f>
        <v/>
      </c>
      <c r="L174" s="18">
        <f>IF(A174="","",IF(I174&gt;=3,Settings!$B$6,0))</f>
        <v/>
      </c>
      <c r="M174" s="18">
        <f>IF(A174="","",J174+L174)</f>
        <v/>
      </c>
      <c r="N174" s="18" t="n"/>
      <c r="O174" s="18">
        <f>IF(A174="","",M174-N174)</f>
        <v/>
      </c>
      <c r="P174" s="17" t="n"/>
    </row>
    <row r="175">
      <c r="A175" s="17" t="n"/>
      <c r="B175" s="17" t="n"/>
      <c r="C175" s="17" t="n"/>
      <c r="D175" s="17" t="n"/>
      <c r="E175" s="17" t="n"/>
      <c r="F175" s="16" t="n"/>
      <c r="G175" s="17" t="n"/>
      <c r="H175" s="17">
        <f>IF(A175="","",COUNTIF(Leads!$P$2:$P$501,A175))</f>
        <v/>
      </c>
      <c r="I175" s="17">
        <f>IF(A175="","",COUNTIFS(Leads!$P$2:$P$501,A175,Leads!$I$2:$I$501,"Won",Leads!$N$2:$N$501,"&gt;="&amp;Settings!$B$7))</f>
        <v/>
      </c>
      <c r="J175" s="18">
        <f>IF(A175="","",SUMIF(Leads!$P$2:$P$501,A175,Leads!$Q$2:$Q$501))</f>
        <v/>
      </c>
      <c r="K175" s="18">
        <f>IF(A175="","",SUMIF(Leads!$P$2:$P$501,A175,Leads!$R$2:$R$501))</f>
        <v/>
      </c>
      <c r="L175" s="18">
        <f>IF(A175="","",IF(I175&gt;=3,Settings!$B$6,0))</f>
        <v/>
      </c>
      <c r="M175" s="18">
        <f>IF(A175="","",J175+L175)</f>
        <v/>
      </c>
      <c r="N175" s="18" t="n"/>
      <c r="O175" s="18">
        <f>IF(A175="","",M175-N175)</f>
        <v/>
      </c>
      <c r="P175" s="17" t="n"/>
    </row>
    <row r="176">
      <c r="A176" s="17" t="n"/>
      <c r="B176" s="17" t="n"/>
      <c r="C176" s="17" t="n"/>
      <c r="D176" s="17" t="n"/>
      <c r="E176" s="17" t="n"/>
      <c r="F176" s="16" t="n"/>
      <c r="G176" s="17" t="n"/>
      <c r="H176" s="17">
        <f>IF(A176="","",COUNTIF(Leads!$P$2:$P$501,A176))</f>
        <v/>
      </c>
      <c r="I176" s="17">
        <f>IF(A176="","",COUNTIFS(Leads!$P$2:$P$501,A176,Leads!$I$2:$I$501,"Won",Leads!$N$2:$N$501,"&gt;="&amp;Settings!$B$7))</f>
        <v/>
      </c>
      <c r="J176" s="18">
        <f>IF(A176="","",SUMIF(Leads!$P$2:$P$501,A176,Leads!$Q$2:$Q$501))</f>
        <v/>
      </c>
      <c r="K176" s="18">
        <f>IF(A176="","",SUMIF(Leads!$P$2:$P$501,A176,Leads!$R$2:$R$501))</f>
        <v/>
      </c>
      <c r="L176" s="18">
        <f>IF(A176="","",IF(I176&gt;=3,Settings!$B$6,0))</f>
        <v/>
      </c>
      <c r="M176" s="18">
        <f>IF(A176="","",J176+L176)</f>
        <v/>
      </c>
      <c r="N176" s="18" t="n"/>
      <c r="O176" s="18">
        <f>IF(A176="","",M176-N176)</f>
        <v/>
      </c>
      <c r="P176" s="17" t="n"/>
    </row>
    <row r="177">
      <c r="A177" s="17" t="n"/>
      <c r="B177" s="17" t="n"/>
      <c r="C177" s="17" t="n"/>
      <c r="D177" s="17" t="n"/>
      <c r="E177" s="17" t="n"/>
      <c r="F177" s="16" t="n"/>
      <c r="G177" s="17" t="n"/>
      <c r="H177" s="17">
        <f>IF(A177="","",COUNTIF(Leads!$P$2:$P$501,A177))</f>
        <v/>
      </c>
      <c r="I177" s="17">
        <f>IF(A177="","",COUNTIFS(Leads!$P$2:$P$501,A177,Leads!$I$2:$I$501,"Won",Leads!$N$2:$N$501,"&gt;="&amp;Settings!$B$7))</f>
        <v/>
      </c>
      <c r="J177" s="18">
        <f>IF(A177="","",SUMIF(Leads!$P$2:$P$501,A177,Leads!$Q$2:$Q$501))</f>
        <v/>
      </c>
      <c r="K177" s="18">
        <f>IF(A177="","",SUMIF(Leads!$P$2:$P$501,A177,Leads!$R$2:$R$501))</f>
        <v/>
      </c>
      <c r="L177" s="18">
        <f>IF(A177="","",IF(I177&gt;=3,Settings!$B$6,0))</f>
        <v/>
      </c>
      <c r="M177" s="18">
        <f>IF(A177="","",J177+L177)</f>
        <v/>
      </c>
      <c r="N177" s="18" t="n"/>
      <c r="O177" s="18">
        <f>IF(A177="","",M177-N177)</f>
        <v/>
      </c>
      <c r="P177" s="17" t="n"/>
    </row>
    <row r="178">
      <c r="A178" s="17" t="n"/>
      <c r="B178" s="17" t="n"/>
      <c r="C178" s="17" t="n"/>
      <c r="D178" s="17" t="n"/>
      <c r="E178" s="17" t="n"/>
      <c r="F178" s="16" t="n"/>
      <c r="G178" s="17" t="n"/>
      <c r="H178" s="17">
        <f>IF(A178="","",COUNTIF(Leads!$P$2:$P$501,A178))</f>
        <v/>
      </c>
      <c r="I178" s="17">
        <f>IF(A178="","",COUNTIFS(Leads!$P$2:$P$501,A178,Leads!$I$2:$I$501,"Won",Leads!$N$2:$N$501,"&gt;="&amp;Settings!$B$7))</f>
        <v/>
      </c>
      <c r="J178" s="18">
        <f>IF(A178="","",SUMIF(Leads!$P$2:$P$501,A178,Leads!$Q$2:$Q$501))</f>
        <v/>
      </c>
      <c r="K178" s="18">
        <f>IF(A178="","",SUMIF(Leads!$P$2:$P$501,A178,Leads!$R$2:$R$501))</f>
        <v/>
      </c>
      <c r="L178" s="18">
        <f>IF(A178="","",IF(I178&gt;=3,Settings!$B$6,0))</f>
        <v/>
      </c>
      <c r="M178" s="18">
        <f>IF(A178="","",J178+L178)</f>
        <v/>
      </c>
      <c r="N178" s="18" t="n"/>
      <c r="O178" s="18">
        <f>IF(A178="","",M178-N178)</f>
        <v/>
      </c>
      <c r="P178" s="17" t="n"/>
    </row>
    <row r="179">
      <c r="A179" s="17" t="n"/>
      <c r="B179" s="17" t="n"/>
      <c r="C179" s="17" t="n"/>
      <c r="D179" s="17" t="n"/>
      <c r="E179" s="17" t="n"/>
      <c r="F179" s="16" t="n"/>
      <c r="G179" s="17" t="n"/>
      <c r="H179" s="17">
        <f>IF(A179="","",COUNTIF(Leads!$P$2:$P$501,A179))</f>
        <v/>
      </c>
      <c r="I179" s="17">
        <f>IF(A179="","",COUNTIFS(Leads!$P$2:$P$501,A179,Leads!$I$2:$I$501,"Won",Leads!$N$2:$N$501,"&gt;="&amp;Settings!$B$7))</f>
        <v/>
      </c>
      <c r="J179" s="18">
        <f>IF(A179="","",SUMIF(Leads!$P$2:$P$501,A179,Leads!$Q$2:$Q$501))</f>
        <v/>
      </c>
      <c r="K179" s="18">
        <f>IF(A179="","",SUMIF(Leads!$P$2:$P$501,A179,Leads!$R$2:$R$501))</f>
        <v/>
      </c>
      <c r="L179" s="18">
        <f>IF(A179="","",IF(I179&gt;=3,Settings!$B$6,0))</f>
        <v/>
      </c>
      <c r="M179" s="18">
        <f>IF(A179="","",J179+L179)</f>
        <v/>
      </c>
      <c r="N179" s="18" t="n"/>
      <c r="O179" s="18">
        <f>IF(A179="","",M179-N179)</f>
        <v/>
      </c>
      <c r="P179" s="17" t="n"/>
    </row>
    <row r="180">
      <c r="A180" s="17" t="n"/>
      <c r="B180" s="17" t="n"/>
      <c r="C180" s="17" t="n"/>
      <c r="D180" s="17" t="n"/>
      <c r="E180" s="17" t="n"/>
      <c r="F180" s="16" t="n"/>
      <c r="G180" s="17" t="n"/>
      <c r="H180" s="17">
        <f>IF(A180="","",COUNTIF(Leads!$P$2:$P$501,A180))</f>
        <v/>
      </c>
      <c r="I180" s="17">
        <f>IF(A180="","",COUNTIFS(Leads!$P$2:$P$501,A180,Leads!$I$2:$I$501,"Won",Leads!$N$2:$N$501,"&gt;="&amp;Settings!$B$7))</f>
        <v/>
      </c>
      <c r="J180" s="18">
        <f>IF(A180="","",SUMIF(Leads!$P$2:$P$501,A180,Leads!$Q$2:$Q$501))</f>
        <v/>
      </c>
      <c r="K180" s="18">
        <f>IF(A180="","",SUMIF(Leads!$P$2:$P$501,A180,Leads!$R$2:$R$501))</f>
        <v/>
      </c>
      <c r="L180" s="18">
        <f>IF(A180="","",IF(I180&gt;=3,Settings!$B$6,0))</f>
        <v/>
      </c>
      <c r="M180" s="18">
        <f>IF(A180="","",J180+L180)</f>
        <v/>
      </c>
      <c r="N180" s="18" t="n"/>
      <c r="O180" s="18">
        <f>IF(A180="","",M180-N180)</f>
        <v/>
      </c>
      <c r="P180" s="17" t="n"/>
    </row>
    <row r="181">
      <c r="A181" s="17" t="n"/>
      <c r="B181" s="17" t="n"/>
      <c r="C181" s="17" t="n"/>
      <c r="D181" s="17" t="n"/>
      <c r="E181" s="17" t="n"/>
      <c r="F181" s="16" t="n"/>
      <c r="G181" s="17" t="n"/>
      <c r="H181" s="17">
        <f>IF(A181="","",COUNTIF(Leads!$P$2:$P$501,A181))</f>
        <v/>
      </c>
      <c r="I181" s="17">
        <f>IF(A181="","",COUNTIFS(Leads!$P$2:$P$501,A181,Leads!$I$2:$I$501,"Won",Leads!$N$2:$N$501,"&gt;="&amp;Settings!$B$7))</f>
        <v/>
      </c>
      <c r="J181" s="18">
        <f>IF(A181="","",SUMIF(Leads!$P$2:$P$501,A181,Leads!$Q$2:$Q$501))</f>
        <v/>
      </c>
      <c r="K181" s="18">
        <f>IF(A181="","",SUMIF(Leads!$P$2:$P$501,A181,Leads!$R$2:$R$501))</f>
        <v/>
      </c>
      <c r="L181" s="18">
        <f>IF(A181="","",IF(I181&gt;=3,Settings!$B$6,0))</f>
        <v/>
      </c>
      <c r="M181" s="18">
        <f>IF(A181="","",J181+L181)</f>
        <v/>
      </c>
      <c r="N181" s="18" t="n"/>
      <c r="O181" s="18">
        <f>IF(A181="","",M181-N181)</f>
        <v/>
      </c>
      <c r="P181" s="17" t="n"/>
    </row>
    <row r="182">
      <c r="A182" s="17" t="n"/>
      <c r="B182" s="17" t="n"/>
      <c r="C182" s="17" t="n"/>
      <c r="D182" s="17" t="n"/>
      <c r="E182" s="17" t="n"/>
      <c r="F182" s="16" t="n"/>
      <c r="G182" s="17" t="n"/>
      <c r="H182" s="17">
        <f>IF(A182="","",COUNTIF(Leads!$P$2:$P$501,A182))</f>
        <v/>
      </c>
      <c r="I182" s="17">
        <f>IF(A182="","",COUNTIFS(Leads!$P$2:$P$501,A182,Leads!$I$2:$I$501,"Won",Leads!$N$2:$N$501,"&gt;="&amp;Settings!$B$7))</f>
        <v/>
      </c>
      <c r="J182" s="18">
        <f>IF(A182="","",SUMIF(Leads!$P$2:$P$501,A182,Leads!$Q$2:$Q$501))</f>
        <v/>
      </c>
      <c r="K182" s="18">
        <f>IF(A182="","",SUMIF(Leads!$P$2:$P$501,A182,Leads!$R$2:$R$501))</f>
        <v/>
      </c>
      <c r="L182" s="18">
        <f>IF(A182="","",IF(I182&gt;=3,Settings!$B$6,0))</f>
        <v/>
      </c>
      <c r="M182" s="18">
        <f>IF(A182="","",J182+L182)</f>
        <v/>
      </c>
      <c r="N182" s="18" t="n"/>
      <c r="O182" s="18">
        <f>IF(A182="","",M182-N182)</f>
        <v/>
      </c>
      <c r="P182" s="17" t="n"/>
    </row>
    <row r="183">
      <c r="A183" s="17" t="n"/>
      <c r="B183" s="17" t="n"/>
      <c r="C183" s="17" t="n"/>
      <c r="D183" s="17" t="n"/>
      <c r="E183" s="17" t="n"/>
      <c r="F183" s="16" t="n"/>
      <c r="G183" s="17" t="n"/>
      <c r="H183" s="17">
        <f>IF(A183="","",COUNTIF(Leads!$P$2:$P$501,A183))</f>
        <v/>
      </c>
      <c r="I183" s="17">
        <f>IF(A183="","",COUNTIFS(Leads!$P$2:$P$501,A183,Leads!$I$2:$I$501,"Won",Leads!$N$2:$N$501,"&gt;="&amp;Settings!$B$7))</f>
        <v/>
      </c>
      <c r="J183" s="18">
        <f>IF(A183="","",SUMIF(Leads!$P$2:$P$501,A183,Leads!$Q$2:$Q$501))</f>
        <v/>
      </c>
      <c r="K183" s="18">
        <f>IF(A183="","",SUMIF(Leads!$P$2:$P$501,A183,Leads!$R$2:$R$501))</f>
        <v/>
      </c>
      <c r="L183" s="18">
        <f>IF(A183="","",IF(I183&gt;=3,Settings!$B$6,0))</f>
        <v/>
      </c>
      <c r="M183" s="18">
        <f>IF(A183="","",J183+L183)</f>
        <v/>
      </c>
      <c r="N183" s="18" t="n"/>
      <c r="O183" s="18">
        <f>IF(A183="","",M183-N183)</f>
        <v/>
      </c>
      <c r="P183" s="17" t="n"/>
    </row>
    <row r="184">
      <c r="A184" s="17" t="n"/>
      <c r="B184" s="17" t="n"/>
      <c r="C184" s="17" t="n"/>
      <c r="D184" s="17" t="n"/>
      <c r="E184" s="17" t="n"/>
      <c r="F184" s="16" t="n"/>
      <c r="G184" s="17" t="n"/>
      <c r="H184" s="17">
        <f>IF(A184="","",COUNTIF(Leads!$P$2:$P$501,A184))</f>
        <v/>
      </c>
      <c r="I184" s="17">
        <f>IF(A184="","",COUNTIFS(Leads!$P$2:$P$501,A184,Leads!$I$2:$I$501,"Won",Leads!$N$2:$N$501,"&gt;="&amp;Settings!$B$7))</f>
        <v/>
      </c>
      <c r="J184" s="18">
        <f>IF(A184="","",SUMIF(Leads!$P$2:$P$501,A184,Leads!$Q$2:$Q$501))</f>
        <v/>
      </c>
      <c r="K184" s="18">
        <f>IF(A184="","",SUMIF(Leads!$P$2:$P$501,A184,Leads!$R$2:$R$501))</f>
        <v/>
      </c>
      <c r="L184" s="18">
        <f>IF(A184="","",IF(I184&gt;=3,Settings!$B$6,0))</f>
        <v/>
      </c>
      <c r="M184" s="18">
        <f>IF(A184="","",J184+L184)</f>
        <v/>
      </c>
      <c r="N184" s="18" t="n"/>
      <c r="O184" s="18">
        <f>IF(A184="","",M184-N184)</f>
        <v/>
      </c>
      <c r="P184" s="17" t="n"/>
    </row>
    <row r="185">
      <c r="A185" s="17" t="n"/>
      <c r="B185" s="17" t="n"/>
      <c r="C185" s="17" t="n"/>
      <c r="D185" s="17" t="n"/>
      <c r="E185" s="17" t="n"/>
      <c r="F185" s="16" t="n"/>
      <c r="G185" s="17" t="n"/>
      <c r="H185" s="17">
        <f>IF(A185="","",COUNTIF(Leads!$P$2:$P$501,A185))</f>
        <v/>
      </c>
      <c r="I185" s="17">
        <f>IF(A185="","",COUNTIFS(Leads!$P$2:$P$501,A185,Leads!$I$2:$I$501,"Won",Leads!$N$2:$N$501,"&gt;="&amp;Settings!$B$7))</f>
        <v/>
      </c>
      <c r="J185" s="18">
        <f>IF(A185="","",SUMIF(Leads!$P$2:$P$501,A185,Leads!$Q$2:$Q$501))</f>
        <v/>
      </c>
      <c r="K185" s="18">
        <f>IF(A185="","",SUMIF(Leads!$P$2:$P$501,A185,Leads!$R$2:$R$501))</f>
        <v/>
      </c>
      <c r="L185" s="18">
        <f>IF(A185="","",IF(I185&gt;=3,Settings!$B$6,0))</f>
        <v/>
      </c>
      <c r="M185" s="18">
        <f>IF(A185="","",J185+L185)</f>
        <v/>
      </c>
      <c r="N185" s="18" t="n"/>
      <c r="O185" s="18">
        <f>IF(A185="","",M185-N185)</f>
        <v/>
      </c>
      <c r="P185" s="17" t="n"/>
    </row>
    <row r="186">
      <c r="A186" s="17" t="n"/>
      <c r="B186" s="17" t="n"/>
      <c r="C186" s="17" t="n"/>
      <c r="D186" s="17" t="n"/>
      <c r="E186" s="17" t="n"/>
      <c r="F186" s="16" t="n"/>
      <c r="G186" s="17" t="n"/>
      <c r="H186" s="17">
        <f>IF(A186="","",COUNTIF(Leads!$P$2:$P$501,A186))</f>
        <v/>
      </c>
      <c r="I186" s="17">
        <f>IF(A186="","",COUNTIFS(Leads!$P$2:$P$501,A186,Leads!$I$2:$I$501,"Won",Leads!$N$2:$N$501,"&gt;="&amp;Settings!$B$7))</f>
        <v/>
      </c>
      <c r="J186" s="18">
        <f>IF(A186="","",SUMIF(Leads!$P$2:$P$501,A186,Leads!$Q$2:$Q$501))</f>
        <v/>
      </c>
      <c r="K186" s="18">
        <f>IF(A186="","",SUMIF(Leads!$P$2:$P$501,A186,Leads!$R$2:$R$501))</f>
        <v/>
      </c>
      <c r="L186" s="18">
        <f>IF(A186="","",IF(I186&gt;=3,Settings!$B$6,0))</f>
        <v/>
      </c>
      <c r="M186" s="18">
        <f>IF(A186="","",J186+L186)</f>
        <v/>
      </c>
      <c r="N186" s="18" t="n"/>
      <c r="O186" s="18">
        <f>IF(A186="","",M186-N186)</f>
        <v/>
      </c>
      <c r="P186" s="17" t="n"/>
    </row>
    <row r="187">
      <c r="A187" s="17" t="n"/>
      <c r="B187" s="17" t="n"/>
      <c r="C187" s="17" t="n"/>
      <c r="D187" s="17" t="n"/>
      <c r="E187" s="17" t="n"/>
      <c r="F187" s="16" t="n"/>
      <c r="G187" s="17" t="n"/>
      <c r="H187" s="17">
        <f>IF(A187="","",COUNTIF(Leads!$P$2:$P$501,A187))</f>
        <v/>
      </c>
      <c r="I187" s="17">
        <f>IF(A187="","",COUNTIFS(Leads!$P$2:$P$501,A187,Leads!$I$2:$I$501,"Won",Leads!$N$2:$N$501,"&gt;="&amp;Settings!$B$7))</f>
        <v/>
      </c>
      <c r="J187" s="18">
        <f>IF(A187="","",SUMIF(Leads!$P$2:$P$501,A187,Leads!$Q$2:$Q$501))</f>
        <v/>
      </c>
      <c r="K187" s="18">
        <f>IF(A187="","",SUMIF(Leads!$P$2:$P$501,A187,Leads!$R$2:$R$501))</f>
        <v/>
      </c>
      <c r="L187" s="18">
        <f>IF(A187="","",IF(I187&gt;=3,Settings!$B$6,0))</f>
        <v/>
      </c>
      <c r="M187" s="18">
        <f>IF(A187="","",J187+L187)</f>
        <v/>
      </c>
      <c r="N187" s="18" t="n"/>
      <c r="O187" s="18">
        <f>IF(A187="","",M187-N187)</f>
        <v/>
      </c>
      <c r="P187" s="17" t="n"/>
    </row>
    <row r="188">
      <c r="A188" s="17" t="n"/>
      <c r="B188" s="17" t="n"/>
      <c r="C188" s="17" t="n"/>
      <c r="D188" s="17" t="n"/>
      <c r="E188" s="17" t="n"/>
      <c r="F188" s="16" t="n"/>
      <c r="G188" s="17" t="n"/>
      <c r="H188" s="17">
        <f>IF(A188="","",COUNTIF(Leads!$P$2:$P$501,A188))</f>
        <v/>
      </c>
      <c r="I188" s="17">
        <f>IF(A188="","",COUNTIFS(Leads!$P$2:$P$501,A188,Leads!$I$2:$I$501,"Won",Leads!$N$2:$N$501,"&gt;="&amp;Settings!$B$7))</f>
        <v/>
      </c>
      <c r="J188" s="18">
        <f>IF(A188="","",SUMIF(Leads!$P$2:$P$501,A188,Leads!$Q$2:$Q$501))</f>
        <v/>
      </c>
      <c r="K188" s="18">
        <f>IF(A188="","",SUMIF(Leads!$P$2:$P$501,A188,Leads!$R$2:$R$501))</f>
        <v/>
      </c>
      <c r="L188" s="18">
        <f>IF(A188="","",IF(I188&gt;=3,Settings!$B$6,0))</f>
        <v/>
      </c>
      <c r="M188" s="18">
        <f>IF(A188="","",J188+L188)</f>
        <v/>
      </c>
      <c r="N188" s="18" t="n"/>
      <c r="O188" s="18">
        <f>IF(A188="","",M188-N188)</f>
        <v/>
      </c>
      <c r="P188" s="17" t="n"/>
    </row>
    <row r="189">
      <c r="A189" s="17" t="n"/>
      <c r="B189" s="17" t="n"/>
      <c r="C189" s="17" t="n"/>
      <c r="D189" s="17" t="n"/>
      <c r="E189" s="17" t="n"/>
      <c r="F189" s="16" t="n"/>
      <c r="G189" s="17" t="n"/>
      <c r="H189" s="17">
        <f>IF(A189="","",COUNTIF(Leads!$P$2:$P$501,A189))</f>
        <v/>
      </c>
      <c r="I189" s="17">
        <f>IF(A189="","",COUNTIFS(Leads!$P$2:$P$501,A189,Leads!$I$2:$I$501,"Won",Leads!$N$2:$N$501,"&gt;="&amp;Settings!$B$7))</f>
        <v/>
      </c>
      <c r="J189" s="18">
        <f>IF(A189="","",SUMIF(Leads!$P$2:$P$501,A189,Leads!$Q$2:$Q$501))</f>
        <v/>
      </c>
      <c r="K189" s="18">
        <f>IF(A189="","",SUMIF(Leads!$P$2:$P$501,A189,Leads!$R$2:$R$501))</f>
        <v/>
      </c>
      <c r="L189" s="18">
        <f>IF(A189="","",IF(I189&gt;=3,Settings!$B$6,0))</f>
        <v/>
      </c>
      <c r="M189" s="18">
        <f>IF(A189="","",J189+L189)</f>
        <v/>
      </c>
      <c r="N189" s="18" t="n"/>
      <c r="O189" s="18">
        <f>IF(A189="","",M189-N189)</f>
        <v/>
      </c>
      <c r="P189" s="17" t="n"/>
    </row>
    <row r="190">
      <c r="A190" s="17" t="n"/>
      <c r="B190" s="17" t="n"/>
      <c r="C190" s="17" t="n"/>
      <c r="D190" s="17" t="n"/>
      <c r="E190" s="17" t="n"/>
      <c r="F190" s="16" t="n"/>
      <c r="G190" s="17" t="n"/>
      <c r="H190" s="17">
        <f>IF(A190="","",COUNTIF(Leads!$P$2:$P$501,A190))</f>
        <v/>
      </c>
      <c r="I190" s="17">
        <f>IF(A190="","",COUNTIFS(Leads!$P$2:$P$501,A190,Leads!$I$2:$I$501,"Won",Leads!$N$2:$N$501,"&gt;="&amp;Settings!$B$7))</f>
        <v/>
      </c>
      <c r="J190" s="18">
        <f>IF(A190="","",SUMIF(Leads!$P$2:$P$501,A190,Leads!$Q$2:$Q$501))</f>
        <v/>
      </c>
      <c r="K190" s="18">
        <f>IF(A190="","",SUMIF(Leads!$P$2:$P$501,A190,Leads!$R$2:$R$501))</f>
        <v/>
      </c>
      <c r="L190" s="18">
        <f>IF(A190="","",IF(I190&gt;=3,Settings!$B$6,0))</f>
        <v/>
      </c>
      <c r="M190" s="18">
        <f>IF(A190="","",J190+L190)</f>
        <v/>
      </c>
      <c r="N190" s="18" t="n"/>
      <c r="O190" s="18">
        <f>IF(A190="","",M190-N190)</f>
        <v/>
      </c>
      <c r="P190" s="17" t="n"/>
    </row>
    <row r="191">
      <c r="A191" s="17" t="n"/>
      <c r="B191" s="17" t="n"/>
      <c r="C191" s="17" t="n"/>
      <c r="D191" s="17" t="n"/>
      <c r="E191" s="17" t="n"/>
      <c r="F191" s="16" t="n"/>
      <c r="G191" s="17" t="n"/>
      <c r="H191" s="17">
        <f>IF(A191="","",COUNTIF(Leads!$P$2:$P$501,A191))</f>
        <v/>
      </c>
      <c r="I191" s="17">
        <f>IF(A191="","",COUNTIFS(Leads!$P$2:$P$501,A191,Leads!$I$2:$I$501,"Won",Leads!$N$2:$N$501,"&gt;="&amp;Settings!$B$7))</f>
        <v/>
      </c>
      <c r="J191" s="18">
        <f>IF(A191="","",SUMIF(Leads!$P$2:$P$501,A191,Leads!$Q$2:$Q$501))</f>
        <v/>
      </c>
      <c r="K191" s="18">
        <f>IF(A191="","",SUMIF(Leads!$P$2:$P$501,A191,Leads!$R$2:$R$501))</f>
        <v/>
      </c>
      <c r="L191" s="18">
        <f>IF(A191="","",IF(I191&gt;=3,Settings!$B$6,0))</f>
        <v/>
      </c>
      <c r="M191" s="18">
        <f>IF(A191="","",J191+L191)</f>
        <v/>
      </c>
      <c r="N191" s="18" t="n"/>
      <c r="O191" s="18">
        <f>IF(A191="","",M191-N191)</f>
        <v/>
      </c>
      <c r="P191" s="17" t="n"/>
    </row>
    <row r="192">
      <c r="A192" s="17" t="n"/>
      <c r="B192" s="17" t="n"/>
      <c r="C192" s="17" t="n"/>
      <c r="D192" s="17" t="n"/>
      <c r="E192" s="17" t="n"/>
      <c r="F192" s="16" t="n"/>
      <c r="G192" s="17" t="n"/>
      <c r="H192" s="17">
        <f>IF(A192="","",COUNTIF(Leads!$P$2:$P$501,A192))</f>
        <v/>
      </c>
      <c r="I192" s="17">
        <f>IF(A192="","",COUNTIFS(Leads!$P$2:$P$501,A192,Leads!$I$2:$I$501,"Won",Leads!$N$2:$N$501,"&gt;="&amp;Settings!$B$7))</f>
        <v/>
      </c>
      <c r="J192" s="18">
        <f>IF(A192="","",SUMIF(Leads!$P$2:$P$501,A192,Leads!$Q$2:$Q$501))</f>
        <v/>
      </c>
      <c r="K192" s="18">
        <f>IF(A192="","",SUMIF(Leads!$P$2:$P$501,A192,Leads!$R$2:$R$501))</f>
        <v/>
      </c>
      <c r="L192" s="18">
        <f>IF(A192="","",IF(I192&gt;=3,Settings!$B$6,0))</f>
        <v/>
      </c>
      <c r="M192" s="18">
        <f>IF(A192="","",J192+L192)</f>
        <v/>
      </c>
      <c r="N192" s="18" t="n"/>
      <c r="O192" s="18">
        <f>IF(A192="","",M192-N192)</f>
        <v/>
      </c>
      <c r="P192" s="17" t="n"/>
    </row>
    <row r="193">
      <c r="A193" s="17" t="n"/>
      <c r="B193" s="17" t="n"/>
      <c r="C193" s="17" t="n"/>
      <c r="D193" s="17" t="n"/>
      <c r="E193" s="17" t="n"/>
      <c r="F193" s="16" t="n"/>
      <c r="G193" s="17" t="n"/>
      <c r="H193" s="17">
        <f>IF(A193="","",COUNTIF(Leads!$P$2:$P$501,A193))</f>
        <v/>
      </c>
      <c r="I193" s="17">
        <f>IF(A193="","",COUNTIFS(Leads!$P$2:$P$501,A193,Leads!$I$2:$I$501,"Won",Leads!$N$2:$N$501,"&gt;="&amp;Settings!$B$7))</f>
        <v/>
      </c>
      <c r="J193" s="18">
        <f>IF(A193="","",SUMIF(Leads!$P$2:$P$501,A193,Leads!$Q$2:$Q$501))</f>
        <v/>
      </c>
      <c r="K193" s="18">
        <f>IF(A193="","",SUMIF(Leads!$P$2:$P$501,A193,Leads!$R$2:$R$501))</f>
        <v/>
      </c>
      <c r="L193" s="18">
        <f>IF(A193="","",IF(I193&gt;=3,Settings!$B$6,0))</f>
        <v/>
      </c>
      <c r="M193" s="18">
        <f>IF(A193="","",J193+L193)</f>
        <v/>
      </c>
      <c r="N193" s="18" t="n"/>
      <c r="O193" s="18">
        <f>IF(A193="","",M193-N193)</f>
        <v/>
      </c>
      <c r="P193" s="17" t="n"/>
    </row>
    <row r="194">
      <c r="A194" s="17" t="n"/>
      <c r="B194" s="17" t="n"/>
      <c r="C194" s="17" t="n"/>
      <c r="D194" s="17" t="n"/>
      <c r="E194" s="17" t="n"/>
      <c r="F194" s="16" t="n"/>
      <c r="G194" s="17" t="n"/>
      <c r="H194" s="17">
        <f>IF(A194="","",COUNTIF(Leads!$P$2:$P$501,A194))</f>
        <v/>
      </c>
      <c r="I194" s="17">
        <f>IF(A194="","",COUNTIFS(Leads!$P$2:$P$501,A194,Leads!$I$2:$I$501,"Won",Leads!$N$2:$N$501,"&gt;="&amp;Settings!$B$7))</f>
        <v/>
      </c>
      <c r="J194" s="18">
        <f>IF(A194="","",SUMIF(Leads!$P$2:$P$501,A194,Leads!$Q$2:$Q$501))</f>
        <v/>
      </c>
      <c r="K194" s="18">
        <f>IF(A194="","",SUMIF(Leads!$P$2:$P$501,A194,Leads!$R$2:$R$501))</f>
        <v/>
      </c>
      <c r="L194" s="18">
        <f>IF(A194="","",IF(I194&gt;=3,Settings!$B$6,0))</f>
        <v/>
      </c>
      <c r="M194" s="18">
        <f>IF(A194="","",J194+L194)</f>
        <v/>
      </c>
      <c r="N194" s="18" t="n"/>
      <c r="O194" s="18">
        <f>IF(A194="","",M194-N194)</f>
        <v/>
      </c>
      <c r="P194" s="17" t="n"/>
    </row>
    <row r="195">
      <c r="A195" s="17" t="n"/>
      <c r="B195" s="17" t="n"/>
      <c r="C195" s="17" t="n"/>
      <c r="D195" s="17" t="n"/>
      <c r="E195" s="17" t="n"/>
      <c r="F195" s="16" t="n"/>
      <c r="G195" s="17" t="n"/>
      <c r="H195" s="17">
        <f>IF(A195="","",COUNTIF(Leads!$P$2:$P$501,A195))</f>
        <v/>
      </c>
      <c r="I195" s="17">
        <f>IF(A195="","",COUNTIFS(Leads!$P$2:$P$501,A195,Leads!$I$2:$I$501,"Won",Leads!$N$2:$N$501,"&gt;="&amp;Settings!$B$7))</f>
        <v/>
      </c>
      <c r="J195" s="18">
        <f>IF(A195="","",SUMIF(Leads!$P$2:$P$501,A195,Leads!$Q$2:$Q$501))</f>
        <v/>
      </c>
      <c r="K195" s="18">
        <f>IF(A195="","",SUMIF(Leads!$P$2:$P$501,A195,Leads!$R$2:$R$501))</f>
        <v/>
      </c>
      <c r="L195" s="18">
        <f>IF(A195="","",IF(I195&gt;=3,Settings!$B$6,0))</f>
        <v/>
      </c>
      <c r="M195" s="18">
        <f>IF(A195="","",J195+L195)</f>
        <v/>
      </c>
      <c r="N195" s="18" t="n"/>
      <c r="O195" s="18">
        <f>IF(A195="","",M195-N195)</f>
        <v/>
      </c>
      <c r="P195" s="17" t="n"/>
    </row>
    <row r="196">
      <c r="A196" s="17" t="n"/>
      <c r="B196" s="17" t="n"/>
      <c r="C196" s="17" t="n"/>
      <c r="D196" s="17" t="n"/>
      <c r="E196" s="17" t="n"/>
      <c r="F196" s="16" t="n"/>
      <c r="G196" s="17" t="n"/>
      <c r="H196" s="17">
        <f>IF(A196="","",COUNTIF(Leads!$P$2:$P$501,A196))</f>
        <v/>
      </c>
      <c r="I196" s="17">
        <f>IF(A196="","",COUNTIFS(Leads!$P$2:$P$501,A196,Leads!$I$2:$I$501,"Won",Leads!$N$2:$N$501,"&gt;="&amp;Settings!$B$7))</f>
        <v/>
      </c>
      <c r="J196" s="18">
        <f>IF(A196="","",SUMIF(Leads!$P$2:$P$501,A196,Leads!$Q$2:$Q$501))</f>
        <v/>
      </c>
      <c r="K196" s="18">
        <f>IF(A196="","",SUMIF(Leads!$P$2:$P$501,A196,Leads!$R$2:$R$501))</f>
        <v/>
      </c>
      <c r="L196" s="18">
        <f>IF(A196="","",IF(I196&gt;=3,Settings!$B$6,0))</f>
        <v/>
      </c>
      <c r="M196" s="18">
        <f>IF(A196="","",J196+L196)</f>
        <v/>
      </c>
      <c r="N196" s="18" t="n"/>
      <c r="O196" s="18">
        <f>IF(A196="","",M196-N196)</f>
        <v/>
      </c>
      <c r="P196" s="17" t="n"/>
    </row>
    <row r="197">
      <c r="A197" s="17" t="n"/>
      <c r="B197" s="17" t="n"/>
      <c r="C197" s="17" t="n"/>
      <c r="D197" s="17" t="n"/>
      <c r="E197" s="17" t="n"/>
      <c r="F197" s="16" t="n"/>
      <c r="G197" s="17" t="n"/>
      <c r="H197" s="17">
        <f>IF(A197="","",COUNTIF(Leads!$P$2:$P$501,A197))</f>
        <v/>
      </c>
      <c r="I197" s="17">
        <f>IF(A197="","",COUNTIFS(Leads!$P$2:$P$501,A197,Leads!$I$2:$I$501,"Won",Leads!$N$2:$N$501,"&gt;="&amp;Settings!$B$7))</f>
        <v/>
      </c>
      <c r="J197" s="18">
        <f>IF(A197="","",SUMIF(Leads!$P$2:$P$501,A197,Leads!$Q$2:$Q$501))</f>
        <v/>
      </c>
      <c r="K197" s="18">
        <f>IF(A197="","",SUMIF(Leads!$P$2:$P$501,A197,Leads!$R$2:$R$501))</f>
        <v/>
      </c>
      <c r="L197" s="18">
        <f>IF(A197="","",IF(I197&gt;=3,Settings!$B$6,0))</f>
        <v/>
      </c>
      <c r="M197" s="18">
        <f>IF(A197="","",J197+L197)</f>
        <v/>
      </c>
      <c r="N197" s="18" t="n"/>
      <c r="O197" s="18">
        <f>IF(A197="","",M197-N197)</f>
        <v/>
      </c>
      <c r="P197" s="17" t="n"/>
    </row>
    <row r="198">
      <c r="A198" s="17" t="n"/>
      <c r="B198" s="17" t="n"/>
      <c r="C198" s="17" t="n"/>
      <c r="D198" s="17" t="n"/>
      <c r="E198" s="17" t="n"/>
      <c r="F198" s="16" t="n"/>
      <c r="G198" s="17" t="n"/>
      <c r="H198" s="17">
        <f>IF(A198="","",COUNTIF(Leads!$P$2:$P$501,A198))</f>
        <v/>
      </c>
      <c r="I198" s="17">
        <f>IF(A198="","",COUNTIFS(Leads!$P$2:$P$501,A198,Leads!$I$2:$I$501,"Won",Leads!$N$2:$N$501,"&gt;="&amp;Settings!$B$7))</f>
        <v/>
      </c>
      <c r="J198" s="18">
        <f>IF(A198="","",SUMIF(Leads!$P$2:$P$501,A198,Leads!$Q$2:$Q$501))</f>
        <v/>
      </c>
      <c r="K198" s="18">
        <f>IF(A198="","",SUMIF(Leads!$P$2:$P$501,A198,Leads!$R$2:$R$501))</f>
        <v/>
      </c>
      <c r="L198" s="18">
        <f>IF(A198="","",IF(I198&gt;=3,Settings!$B$6,0))</f>
        <v/>
      </c>
      <c r="M198" s="18">
        <f>IF(A198="","",J198+L198)</f>
        <v/>
      </c>
      <c r="N198" s="18" t="n"/>
      <c r="O198" s="18">
        <f>IF(A198="","",M198-N198)</f>
        <v/>
      </c>
      <c r="P198" s="17" t="n"/>
    </row>
    <row r="199">
      <c r="A199" s="17" t="n"/>
      <c r="B199" s="17" t="n"/>
      <c r="C199" s="17" t="n"/>
      <c r="D199" s="17" t="n"/>
      <c r="E199" s="17" t="n"/>
      <c r="F199" s="16" t="n"/>
      <c r="G199" s="17" t="n"/>
      <c r="H199" s="17">
        <f>IF(A199="","",COUNTIF(Leads!$P$2:$P$501,A199))</f>
        <v/>
      </c>
      <c r="I199" s="17">
        <f>IF(A199="","",COUNTIFS(Leads!$P$2:$P$501,A199,Leads!$I$2:$I$501,"Won",Leads!$N$2:$N$501,"&gt;="&amp;Settings!$B$7))</f>
        <v/>
      </c>
      <c r="J199" s="18">
        <f>IF(A199="","",SUMIF(Leads!$P$2:$P$501,A199,Leads!$Q$2:$Q$501))</f>
        <v/>
      </c>
      <c r="K199" s="18">
        <f>IF(A199="","",SUMIF(Leads!$P$2:$P$501,A199,Leads!$R$2:$R$501))</f>
        <v/>
      </c>
      <c r="L199" s="18">
        <f>IF(A199="","",IF(I199&gt;=3,Settings!$B$6,0))</f>
        <v/>
      </c>
      <c r="M199" s="18">
        <f>IF(A199="","",J199+L199)</f>
        <v/>
      </c>
      <c r="N199" s="18" t="n"/>
      <c r="O199" s="18">
        <f>IF(A199="","",M199-N199)</f>
        <v/>
      </c>
      <c r="P199" s="17" t="n"/>
    </row>
    <row r="200">
      <c r="A200" s="17" t="n"/>
      <c r="B200" s="17" t="n"/>
      <c r="C200" s="17" t="n"/>
      <c r="D200" s="17" t="n"/>
      <c r="E200" s="17" t="n"/>
      <c r="F200" s="16" t="n"/>
      <c r="G200" s="17" t="n"/>
      <c r="H200" s="17">
        <f>IF(A200="","",COUNTIF(Leads!$P$2:$P$501,A200))</f>
        <v/>
      </c>
      <c r="I200" s="17">
        <f>IF(A200="","",COUNTIFS(Leads!$P$2:$P$501,A200,Leads!$I$2:$I$501,"Won",Leads!$N$2:$N$501,"&gt;="&amp;Settings!$B$7))</f>
        <v/>
      </c>
      <c r="J200" s="18">
        <f>IF(A200="","",SUMIF(Leads!$P$2:$P$501,A200,Leads!$Q$2:$Q$501))</f>
        <v/>
      </c>
      <c r="K200" s="18">
        <f>IF(A200="","",SUMIF(Leads!$P$2:$P$501,A200,Leads!$R$2:$R$501))</f>
        <v/>
      </c>
      <c r="L200" s="18">
        <f>IF(A200="","",IF(I200&gt;=3,Settings!$B$6,0))</f>
        <v/>
      </c>
      <c r="M200" s="18">
        <f>IF(A200="","",J200+L200)</f>
        <v/>
      </c>
      <c r="N200" s="18" t="n"/>
      <c r="O200" s="18">
        <f>IF(A200="","",M200-N200)</f>
        <v/>
      </c>
      <c r="P200" s="17" t="n"/>
    </row>
    <row r="201">
      <c r="A201" s="17" t="n"/>
      <c r="B201" s="17" t="n"/>
      <c r="C201" s="17" t="n"/>
      <c r="D201" s="17" t="n"/>
      <c r="E201" s="17" t="n"/>
      <c r="F201" s="16" t="n"/>
      <c r="G201" s="17" t="n"/>
      <c r="H201" s="17">
        <f>IF(A201="","",COUNTIF(Leads!$P$2:$P$501,A201))</f>
        <v/>
      </c>
      <c r="I201" s="17">
        <f>IF(A201="","",COUNTIFS(Leads!$P$2:$P$501,A201,Leads!$I$2:$I$501,"Won",Leads!$N$2:$N$501,"&gt;="&amp;Settings!$B$7))</f>
        <v/>
      </c>
      <c r="J201" s="18">
        <f>IF(A201="","",SUMIF(Leads!$P$2:$P$501,A201,Leads!$Q$2:$Q$501))</f>
        <v/>
      </c>
      <c r="K201" s="18">
        <f>IF(A201="","",SUMIF(Leads!$P$2:$P$501,A201,Leads!$R$2:$R$501))</f>
        <v/>
      </c>
      <c r="L201" s="18">
        <f>IF(A201="","",IF(I201&gt;=3,Settings!$B$6,0))</f>
        <v/>
      </c>
      <c r="M201" s="18">
        <f>IF(A201="","",J201+L201)</f>
        <v/>
      </c>
      <c r="N201" s="18" t="n"/>
      <c r="O201" s="18">
        <f>IF(A201="","",M201-N201)</f>
        <v/>
      </c>
      <c r="P201" s="17" t="n"/>
    </row>
    <row r="202">
      <c r="A202" s="17" t="n"/>
      <c r="B202" s="17" t="n"/>
      <c r="C202" s="17" t="n"/>
      <c r="D202" s="17" t="n"/>
      <c r="E202" s="17" t="n"/>
      <c r="F202" s="16" t="n"/>
      <c r="G202" s="17" t="n"/>
      <c r="H202" s="17">
        <f>IF(A202="","",COUNTIF(Leads!$P$2:$P$501,A202))</f>
        <v/>
      </c>
      <c r="I202" s="17">
        <f>IF(A202="","",COUNTIFS(Leads!$P$2:$P$501,A202,Leads!$I$2:$I$501,"Won",Leads!$N$2:$N$501,"&gt;="&amp;Settings!$B$7))</f>
        <v/>
      </c>
      <c r="J202" s="18">
        <f>IF(A202="","",SUMIF(Leads!$P$2:$P$501,A202,Leads!$Q$2:$Q$501))</f>
        <v/>
      </c>
      <c r="K202" s="18">
        <f>IF(A202="","",SUMIF(Leads!$P$2:$P$501,A202,Leads!$R$2:$R$501))</f>
        <v/>
      </c>
      <c r="L202" s="18">
        <f>IF(A202="","",IF(I202&gt;=3,Settings!$B$6,0))</f>
        <v/>
      </c>
      <c r="M202" s="18">
        <f>IF(A202="","",J202+L202)</f>
        <v/>
      </c>
      <c r="N202" s="18" t="n"/>
      <c r="O202" s="18">
        <f>IF(A202="","",M202-N202)</f>
        <v/>
      </c>
      <c r="P202" s="17" t="n"/>
    </row>
    <row r="203">
      <c r="A203" s="17" t="n"/>
      <c r="B203" s="17" t="n"/>
      <c r="C203" s="17" t="n"/>
      <c r="D203" s="17" t="n"/>
      <c r="E203" s="17" t="n"/>
      <c r="F203" s="16" t="n"/>
      <c r="G203" s="17" t="n"/>
      <c r="H203" s="17">
        <f>IF(A203="","",COUNTIF(Leads!$P$2:$P$501,A203))</f>
        <v/>
      </c>
      <c r="I203" s="17">
        <f>IF(A203="","",COUNTIFS(Leads!$P$2:$P$501,A203,Leads!$I$2:$I$501,"Won",Leads!$N$2:$N$501,"&gt;="&amp;Settings!$B$7))</f>
        <v/>
      </c>
      <c r="J203" s="18">
        <f>IF(A203="","",SUMIF(Leads!$P$2:$P$501,A203,Leads!$Q$2:$Q$501))</f>
        <v/>
      </c>
      <c r="K203" s="18">
        <f>IF(A203="","",SUMIF(Leads!$P$2:$P$501,A203,Leads!$R$2:$R$501))</f>
        <v/>
      </c>
      <c r="L203" s="18">
        <f>IF(A203="","",IF(I203&gt;=3,Settings!$B$6,0))</f>
        <v/>
      </c>
      <c r="M203" s="18">
        <f>IF(A203="","",J203+L203)</f>
        <v/>
      </c>
      <c r="N203" s="18" t="n"/>
      <c r="O203" s="18">
        <f>IF(A203="","",M203-N203)</f>
        <v/>
      </c>
      <c r="P203" s="17" t="n"/>
    </row>
    <row r="204">
      <c r="A204" s="17" t="n"/>
      <c r="B204" s="17" t="n"/>
      <c r="C204" s="17" t="n"/>
      <c r="D204" s="17" t="n"/>
      <c r="E204" s="17" t="n"/>
      <c r="F204" s="16" t="n"/>
      <c r="G204" s="17" t="n"/>
      <c r="H204" s="17">
        <f>IF(A204="","",COUNTIF(Leads!$P$2:$P$501,A204))</f>
        <v/>
      </c>
      <c r="I204" s="17">
        <f>IF(A204="","",COUNTIFS(Leads!$P$2:$P$501,A204,Leads!$I$2:$I$501,"Won",Leads!$N$2:$N$501,"&gt;="&amp;Settings!$B$7))</f>
        <v/>
      </c>
      <c r="J204" s="18">
        <f>IF(A204="","",SUMIF(Leads!$P$2:$P$501,A204,Leads!$Q$2:$Q$501))</f>
        <v/>
      </c>
      <c r="K204" s="18">
        <f>IF(A204="","",SUMIF(Leads!$P$2:$P$501,A204,Leads!$R$2:$R$501))</f>
        <v/>
      </c>
      <c r="L204" s="18">
        <f>IF(A204="","",IF(I204&gt;=3,Settings!$B$6,0))</f>
        <v/>
      </c>
      <c r="M204" s="18">
        <f>IF(A204="","",J204+L204)</f>
        <v/>
      </c>
      <c r="N204" s="18" t="n"/>
      <c r="O204" s="18">
        <f>IF(A204="","",M204-N204)</f>
        <v/>
      </c>
      <c r="P204" s="17" t="n"/>
    </row>
    <row r="205">
      <c r="A205" s="17" t="n"/>
      <c r="B205" s="17" t="n"/>
      <c r="C205" s="17" t="n"/>
      <c r="D205" s="17" t="n"/>
      <c r="E205" s="17" t="n"/>
      <c r="F205" s="16" t="n"/>
      <c r="G205" s="17" t="n"/>
      <c r="H205" s="17">
        <f>IF(A205="","",COUNTIF(Leads!$P$2:$P$501,A205))</f>
        <v/>
      </c>
      <c r="I205" s="17">
        <f>IF(A205="","",COUNTIFS(Leads!$P$2:$P$501,A205,Leads!$I$2:$I$501,"Won",Leads!$N$2:$N$501,"&gt;="&amp;Settings!$B$7))</f>
        <v/>
      </c>
      <c r="J205" s="18">
        <f>IF(A205="","",SUMIF(Leads!$P$2:$P$501,A205,Leads!$Q$2:$Q$501))</f>
        <v/>
      </c>
      <c r="K205" s="18">
        <f>IF(A205="","",SUMIF(Leads!$P$2:$P$501,A205,Leads!$R$2:$R$501))</f>
        <v/>
      </c>
      <c r="L205" s="18">
        <f>IF(A205="","",IF(I205&gt;=3,Settings!$B$6,0))</f>
        <v/>
      </c>
      <c r="M205" s="18">
        <f>IF(A205="","",J205+L205)</f>
        <v/>
      </c>
      <c r="N205" s="18" t="n"/>
      <c r="O205" s="18">
        <f>IF(A205="","",M205-N205)</f>
        <v/>
      </c>
      <c r="P205" s="17" t="n"/>
    </row>
    <row r="206">
      <c r="A206" s="17" t="n"/>
      <c r="B206" s="17" t="n"/>
      <c r="C206" s="17" t="n"/>
      <c r="D206" s="17" t="n"/>
      <c r="E206" s="17" t="n"/>
      <c r="F206" s="16" t="n"/>
      <c r="G206" s="17" t="n"/>
      <c r="H206" s="17">
        <f>IF(A206="","",COUNTIF(Leads!$P$2:$P$501,A206))</f>
        <v/>
      </c>
      <c r="I206" s="17">
        <f>IF(A206="","",COUNTIFS(Leads!$P$2:$P$501,A206,Leads!$I$2:$I$501,"Won",Leads!$N$2:$N$501,"&gt;="&amp;Settings!$B$7))</f>
        <v/>
      </c>
      <c r="J206" s="18">
        <f>IF(A206="","",SUMIF(Leads!$P$2:$P$501,A206,Leads!$Q$2:$Q$501))</f>
        <v/>
      </c>
      <c r="K206" s="18">
        <f>IF(A206="","",SUMIF(Leads!$P$2:$P$501,A206,Leads!$R$2:$R$501))</f>
        <v/>
      </c>
      <c r="L206" s="18">
        <f>IF(A206="","",IF(I206&gt;=3,Settings!$B$6,0))</f>
        <v/>
      </c>
      <c r="M206" s="18">
        <f>IF(A206="","",J206+L206)</f>
        <v/>
      </c>
      <c r="N206" s="18" t="n"/>
      <c r="O206" s="18">
        <f>IF(A206="","",M206-N206)</f>
        <v/>
      </c>
      <c r="P206" s="17" t="n"/>
    </row>
    <row r="207">
      <c r="A207" s="17" t="n"/>
      <c r="B207" s="17" t="n"/>
      <c r="C207" s="17" t="n"/>
      <c r="D207" s="17" t="n"/>
      <c r="E207" s="17" t="n"/>
      <c r="F207" s="16" t="n"/>
      <c r="G207" s="17" t="n"/>
      <c r="H207" s="17">
        <f>IF(A207="","",COUNTIF(Leads!$P$2:$P$501,A207))</f>
        <v/>
      </c>
      <c r="I207" s="17">
        <f>IF(A207="","",COUNTIFS(Leads!$P$2:$P$501,A207,Leads!$I$2:$I$501,"Won",Leads!$N$2:$N$501,"&gt;="&amp;Settings!$B$7))</f>
        <v/>
      </c>
      <c r="J207" s="18">
        <f>IF(A207="","",SUMIF(Leads!$P$2:$P$501,A207,Leads!$Q$2:$Q$501))</f>
        <v/>
      </c>
      <c r="K207" s="18">
        <f>IF(A207="","",SUMIF(Leads!$P$2:$P$501,A207,Leads!$R$2:$R$501))</f>
        <v/>
      </c>
      <c r="L207" s="18">
        <f>IF(A207="","",IF(I207&gt;=3,Settings!$B$6,0))</f>
        <v/>
      </c>
      <c r="M207" s="18">
        <f>IF(A207="","",J207+L207)</f>
        <v/>
      </c>
      <c r="N207" s="18" t="n"/>
      <c r="O207" s="18">
        <f>IF(A207="","",M207-N207)</f>
        <v/>
      </c>
      <c r="P207" s="17" t="n"/>
    </row>
    <row r="208">
      <c r="A208" s="17" t="n"/>
      <c r="B208" s="17" t="n"/>
      <c r="C208" s="17" t="n"/>
      <c r="D208" s="17" t="n"/>
      <c r="E208" s="17" t="n"/>
      <c r="F208" s="16" t="n"/>
      <c r="G208" s="17" t="n"/>
      <c r="H208" s="17">
        <f>IF(A208="","",COUNTIF(Leads!$P$2:$P$501,A208))</f>
        <v/>
      </c>
      <c r="I208" s="17">
        <f>IF(A208="","",COUNTIFS(Leads!$P$2:$P$501,A208,Leads!$I$2:$I$501,"Won",Leads!$N$2:$N$501,"&gt;="&amp;Settings!$B$7))</f>
        <v/>
      </c>
      <c r="J208" s="18">
        <f>IF(A208="","",SUMIF(Leads!$P$2:$P$501,A208,Leads!$Q$2:$Q$501))</f>
        <v/>
      </c>
      <c r="K208" s="18">
        <f>IF(A208="","",SUMIF(Leads!$P$2:$P$501,A208,Leads!$R$2:$R$501))</f>
        <v/>
      </c>
      <c r="L208" s="18">
        <f>IF(A208="","",IF(I208&gt;=3,Settings!$B$6,0))</f>
        <v/>
      </c>
      <c r="M208" s="18">
        <f>IF(A208="","",J208+L208)</f>
        <v/>
      </c>
      <c r="N208" s="18" t="n"/>
      <c r="O208" s="18">
        <f>IF(A208="","",M208-N208)</f>
        <v/>
      </c>
      <c r="P208" s="17" t="n"/>
    </row>
    <row r="209">
      <c r="A209" s="17" t="n"/>
      <c r="B209" s="17" t="n"/>
      <c r="C209" s="17" t="n"/>
      <c r="D209" s="17" t="n"/>
      <c r="E209" s="17" t="n"/>
      <c r="F209" s="16" t="n"/>
      <c r="G209" s="17" t="n"/>
      <c r="H209" s="17">
        <f>IF(A209="","",COUNTIF(Leads!$P$2:$P$501,A209))</f>
        <v/>
      </c>
      <c r="I209" s="17">
        <f>IF(A209="","",COUNTIFS(Leads!$P$2:$P$501,A209,Leads!$I$2:$I$501,"Won",Leads!$N$2:$N$501,"&gt;="&amp;Settings!$B$7))</f>
        <v/>
      </c>
      <c r="J209" s="18">
        <f>IF(A209="","",SUMIF(Leads!$P$2:$P$501,A209,Leads!$Q$2:$Q$501))</f>
        <v/>
      </c>
      <c r="K209" s="18">
        <f>IF(A209="","",SUMIF(Leads!$P$2:$P$501,A209,Leads!$R$2:$R$501))</f>
        <v/>
      </c>
      <c r="L209" s="18">
        <f>IF(A209="","",IF(I209&gt;=3,Settings!$B$6,0))</f>
        <v/>
      </c>
      <c r="M209" s="18">
        <f>IF(A209="","",J209+L209)</f>
        <v/>
      </c>
      <c r="N209" s="18" t="n"/>
      <c r="O209" s="18">
        <f>IF(A209="","",M209-N209)</f>
        <v/>
      </c>
      <c r="P209" s="17" t="n"/>
    </row>
    <row r="210">
      <c r="A210" s="17" t="n"/>
      <c r="B210" s="17" t="n"/>
      <c r="C210" s="17" t="n"/>
      <c r="D210" s="17" t="n"/>
      <c r="E210" s="17" t="n"/>
      <c r="F210" s="16" t="n"/>
      <c r="G210" s="17" t="n"/>
      <c r="H210" s="17">
        <f>IF(A210="","",COUNTIF(Leads!$P$2:$P$501,A210))</f>
        <v/>
      </c>
      <c r="I210" s="17">
        <f>IF(A210="","",COUNTIFS(Leads!$P$2:$P$501,A210,Leads!$I$2:$I$501,"Won",Leads!$N$2:$N$501,"&gt;="&amp;Settings!$B$7))</f>
        <v/>
      </c>
      <c r="J210" s="18">
        <f>IF(A210="","",SUMIF(Leads!$P$2:$P$501,A210,Leads!$Q$2:$Q$501))</f>
        <v/>
      </c>
      <c r="K210" s="18">
        <f>IF(A210="","",SUMIF(Leads!$P$2:$P$501,A210,Leads!$R$2:$R$501))</f>
        <v/>
      </c>
      <c r="L210" s="18">
        <f>IF(A210="","",IF(I210&gt;=3,Settings!$B$6,0))</f>
        <v/>
      </c>
      <c r="M210" s="18">
        <f>IF(A210="","",J210+L210)</f>
        <v/>
      </c>
      <c r="N210" s="18" t="n"/>
      <c r="O210" s="18">
        <f>IF(A210="","",M210-N210)</f>
        <v/>
      </c>
      <c r="P210" s="17" t="n"/>
    </row>
    <row r="211">
      <c r="A211" s="17" t="n"/>
      <c r="B211" s="17" t="n"/>
      <c r="C211" s="17" t="n"/>
      <c r="D211" s="17" t="n"/>
      <c r="E211" s="17" t="n"/>
      <c r="F211" s="16" t="n"/>
      <c r="G211" s="17" t="n"/>
      <c r="H211" s="17">
        <f>IF(A211="","",COUNTIF(Leads!$P$2:$P$501,A211))</f>
        <v/>
      </c>
      <c r="I211" s="17">
        <f>IF(A211="","",COUNTIFS(Leads!$P$2:$P$501,A211,Leads!$I$2:$I$501,"Won",Leads!$N$2:$N$501,"&gt;="&amp;Settings!$B$7))</f>
        <v/>
      </c>
      <c r="J211" s="18">
        <f>IF(A211="","",SUMIF(Leads!$P$2:$P$501,A211,Leads!$Q$2:$Q$501))</f>
        <v/>
      </c>
      <c r="K211" s="18">
        <f>IF(A211="","",SUMIF(Leads!$P$2:$P$501,A211,Leads!$R$2:$R$501))</f>
        <v/>
      </c>
      <c r="L211" s="18">
        <f>IF(A211="","",IF(I211&gt;=3,Settings!$B$6,0))</f>
        <v/>
      </c>
      <c r="M211" s="18">
        <f>IF(A211="","",J211+L211)</f>
        <v/>
      </c>
      <c r="N211" s="18" t="n"/>
      <c r="O211" s="18">
        <f>IF(A211="","",M211-N211)</f>
        <v/>
      </c>
      <c r="P211" s="17" t="n"/>
    </row>
    <row r="212">
      <c r="A212" s="17" t="n"/>
      <c r="B212" s="17" t="n"/>
      <c r="C212" s="17" t="n"/>
      <c r="D212" s="17" t="n"/>
      <c r="E212" s="17" t="n"/>
      <c r="F212" s="16" t="n"/>
      <c r="G212" s="17" t="n"/>
      <c r="H212" s="17">
        <f>IF(A212="","",COUNTIF(Leads!$P$2:$P$501,A212))</f>
        <v/>
      </c>
      <c r="I212" s="17">
        <f>IF(A212="","",COUNTIFS(Leads!$P$2:$P$501,A212,Leads!$I$2:$I$501,"Won",Leads!$N$2:$N$501,"&gt;="&amp;Settings!$B$7))</f>
        <v/>
      </c>
      <c r="J212" s="18">
        <f>IF(A212="","",SUMIF(Leads!$P$2:$P$501,A212,Leads!$Q$2:$Q$501))</f>
        <v/>
      </c>
      <c r="K212" s="18">
        <f>IF(A212="","",SUMIF(Leads!$P$2:$P$501,A212,Leads!$R$2:$R$501))</f>
        <v/>
      </c>
      <c r="L212" s="18">
        <f>IF(A212="","",IF(I212&gt;=3,Settings!$B$6,0))</f>
        <v/>
      </c>
      <c r="M212" s="18">
        <f>IF(A212="","",J212+L212)</f>
        <v/>
      </c>
      <c r="N212" s="18" t="n"/>
      <c r="O212" s="18">
        <f>IF(A212="","",M212-N212)</f>
        <v/>
      </c>
      <c r="P212" s="17" t="n"/>
    </row>
    <row r="213">
      <c r="A213" s="17" t="n"/>
      <c r="B213" s="17" t="n"/>
      <c r="C213" s="17" t="n"/>
      <c r="D213" s="17" t="n"/>
      <c r="E213" s="17" t="n"/>
      <c r="F213" s="16" t="n"/>
      <c r="G213" s="17" t="n"/>
      <c r="H213" s="17">
        <f>IF(A213="","",COUNTIF(Leads!$P$2:$P$501,A213))</f>
        <v/>
      </c>
      <c r="I213" s="17">
        <f>IF(A213="","",COUNTIFS(Leads!$P$2:$P$501,A213,Leads!$I$2:$I$501,"Won",Leads!$N$2:$N$501,"&gt;="&amp;Settings!$B$7))</f>
        <v/>
      </c>
      <c r="J213" s="18">
        <f>IF(A213="","",SUMIF(Leads!$P$2:$P$501,A213,Leads!$Q$2:$Q$501))</f>
        <v/>
      </c>
      <c r="K213" s="18">
        <f>IF(A213="","",SUMIF(Leads!$P$2:$P$501,A213,Leads!$R$2:$R$501))</f>
        <v/>
      </c>
      <c r="L213" s="18">
        <f>IF(A213="","",IF(I213&gt;=3,Settings!$B$6,0))</f>
        <v/>
      </c>
      <c r="M213" s="18">
        <f>IF(A213="","",J213+L213)</f>
        <v/>
      </c>
      <c r="N213" s="18" t="n"/>
      <c r="O213" s="18">
        <f>IF(A213="","",M213-N213)</f>
        <v/>
      </c>
      <c r="P213" s="17" t="n"/>
    </row>
    <row r="214">
      <c r="A214" s="17" t="n"/>
      <c r="B214" s="17" t="n"/>
      <c r="C214" s="17" t="n"/>
      <c r="D214" s="17" t="n"/>
      <c r="E214" s="17" t="n"/>
      <c r="F214" s="16" t="n"/>
      <c r="G214" s="17" t="n"/>
      <c r="H214" s="17">
        <f>IF(A214="","",COUNTIF(Leads!$P$2:$P$501,A214))</f>
        <v/>
      </c>
      <c r="I214" s="17">
        <f>IF(A214="","",COUNTIFS(Leads!$P$2:$P$501,A214,Leads!$I$2:$I$501,"Won",Leads!$N$2:$N$501,"&gt;="&amp;Settings!$B$7))</f>
        <v/>
      </c>
      <c r="J214" s="18">
        <f>IF(A214="","",SUMIF(Leads!$P$2:$P$501,A214,Leads!$Q$2:$Q$501))</f>
        <v/>
      </c>
      <c r="K214" s="18">
        <f>IF(A214="","",SUMIF(Leads!$P$2:$P$501,A214,Leads!$R$2:$R$501))</f>
        <v/>
      </c>
      <c r="L214" s="18">
        <f>IF(A214="","",IF(I214&gt;=3,Settings!$B$6,0))</f>
        <v/>
      </c>
      <c r="M214" s="18">
        <f>IF(A214="","",J214+L214)</f>
        <v/>
      </c>
      <c r="N214" s="18" t="n"/>
      <c r="O214" s="18">
        <f>IF(A214="","",M214-N214)</f>
        <v/>
      </c>
      <c r="P214" s="17" t="n"/>
    </row>
    <row r="215">
      <c r="A215" s="17" t="n"/>
      <c r="B215" s="17" t="n"/>
      <c r="C215" s="17" t="n"/>
      <c r="D215" s="17" t="n"/>
      <c r="E215" s="17" t="n"/>
      <c r="F215" s="16" t="n"/>
      <c r="G215" s="17" t="n"/>
      <c r="H215" s="17">
        <f>IF(A215="","",COUNTIF(Leads!$P$2:$P$501,A215))</f>
        <v/>
      </c>
      <c r="I215" s="17">
        <f>IF(A215="","",COUNTIFS(Leads!$P$2:$P$501,A215,Leads!$I$2:$I$501,"Won",Leads!$N$2:$N$501,"&gt;="&amp;Settings!$B$7))</f>
        <v/>
      </c>
      <c r="J215" s="18">
        <f>IF(A215="","",SUMIF(Leads!$P$2:$P$501,A215,Leads!$Q$2:$Q$501))</f>
        <v/>
      </c>
      <c r="K215" s="18">
        <f>IF(A215="","",SUMIF(Leads!$P$2:$P$501,A215,Leads!$R$2:$R$501))</f>
        <v/>
      </c>
      <c r="L215" s="18">
        <f>IF(A215="","",IF(I215&gt;=3,Settings!$B$6,0))</f>
        <v/>
      </c>
      <c r="M215" s="18">
        <f>IF(A215="","",J215+L215)</f>
        <v/>
      </c>
      <c r="N215" s="18" t="n"/>
      <c r="O215" s="18">
        <f>IF(A215="","",M215-N215)</f>
        <v/>
      </c>
      <c r="P215" s="17" t="n"/>
    </row>
    <row r="216">
      <c r="A216" s="17" t="n"/>
      <c r="B216" s="17" t="n"/>
      <c r="C216" s="17" t="n"/>
      <c r="D216" s="17" t="n"/>
      <c r="E216" s="17" t="n"/>
      <c r="F216" s="16" t="n"/>
      <c r="G216" s="17" t="n"/>
      <c r="H216" s="17">
        <f>IF(A216="","",COUNTIF(Leads!$P$2:$P$501,A216))</f>
        <v/>
      </c>
      <c r="I216" s="17">
        <f>IF(A216="","",COUNTIFS(Leads!$P$2:$P$501,A216,Leads!$I$2:$I$501,"Won",Leads!$N$2:$N$501,"&gt;="&amp;Settings!$B$7))</f>
        <v/>
      </c>
      <c r="J216" s="18">
        <f>IF(A216="","",SUMIF(Leads!$P$2:$P$501,A216,Leads!$Q$2:$Q$501))</f>
        <v/>
      </c>
      <c r="K216" s="18">
        <f>IF(A216="","",SUMIF(Leads!$P$2:$P$501,A216,Leads!$R$2:$R$501))</f>
        <v/>
      </c>
      <c r="L216" s="18">
        <f>IF(A216="","",IF(I216&gt;=3,Settings!$B$6,0))</f>
        <v/>
      </c>
      <c r="M216" s="18">
        <f>IF(A216="","",J216+L216)</f>
        <v/>
      </c>
      <c r="N216" s="18" t="n"/>
      <c r="O216" s="18">
        <f>IF(A216="","",M216-N216)</f>
        <v/>
      </c>
      <c r="P216" s="17" t="n"/>
    </row>
    <row r="217">
      <c r="A217" s="17" t="n"/>
      <c r="B217" s="17" t="n"/>
      <c r="C217" s="17" t="n"/>
      <c r="D217" s="17" t="n"/>
      <c r="E217" s="17" t="n"/>
      <c r="F217" s="16" t="n"/>
      <c r="G217" s="17" t="n"/>
      <c r="H217" s="17">
        <f>IF(A217="","",COUNTIF(Leads!$P$2:$P$501,A217))</f>
        <v/>
      </c>
      <c r="I217" s="17">
        <f>IF(A217="","",COUNTIFS(Leads!$P$2:$P$501,A217,Leads!$I$2:$I$501,"Won",Leads!$N$2:$N$501,"&gt;="&amp;Settings!$B$7))</f>
        <v/>
      </c>
      <c r="J217" s="18">
        <f>IF(A217="","",SUMIF(Leads!$P$2:$P$501,A217,Leads!$Q$2:$Q$501))</f>
        <v/>
      </c>
      <c r="K217" s="18">
        <f>IF(A217="","",SUMIF(Leads!$P$2:$P$501,A217,Leads!$R$2:$R$501))</f>
        <v/>
      </c>
      <c r="L217" s="18">
        <f>IF(A217="","",IF(I217&gt;=3,Settings!$B$6,0))</f>
        <v/>
      </c>
      <c r="M217" s="18">
        <f>IF(A217="","",J217+L217)</f>
        <v/>
      </c>
      <c r="N217" s="18" t="n"/>
      <c r="O217" s="18">
        <f>IF(A217="","",M217-N217)</f>
        <v/>
      </c>
      <c r="P217" s="17" t="n"/>
    </row>
    <row r="218">
      <c r="A218" s="17" t="n"/>
      <c r="B218" s="17" t="n"/>
      <c r="C218" s="17" t="n"/>
      <c r="D218" s="17" t="n"/>
      <c r="E218" s="17" t="n"/>
      <c r="F218" s="16" t="n"/>
      <c r="G218" s="17" t="n"/>
      <c r="H218" s="17">
        <f>IF(A218="","",COUNTIF(Leads!$P$2:$P$501,A218))</f>
        <v/>
      </c>
      <c r="I218" s="17">
        <f>IF(A218="","",COUNTIFS(Leads!$P$2:$P$501,A218,Leads!$I$2:$I$501,"Won",Leads!$N$2:$N$501,"&gt;="&amp;Settings!$B$7))</f>
        <v/>
      </c>
      <c r="J218" s="18">
        <f>IF(A218="","",SUMIF(Leads!$P$2:$P$501,A218,Leads!$Q$2:$Q$501))</f>
        <v/>
      </c>
      <c r="K218" s="18">
        <f>IF(A218="","",SUMIF(Leads!$P$2:$P$501,A218,Leads!$R$2:$R$501))</f>
        <v/>
      </c>
      <c r="L218" s="18">
        <f>IF(A218="","",IF(I218&gt;=3,Settings!$B$6,0))</f>
        <v/>
      </c>
      <c r="M218" s="18">
        <f>IF(A218="","",J218+L218)</f>
        <v/>
      </c>
      <c r="N218" s="18" t="n"/>
      <c r="O218" s="18">
        <f>IF(A218="","",M218-N218)</f>
        <v/>
      </c>
      <c r="P218" s="17" t="n"/>
    </row>
    <row r="219">
      <c r="A219" s="17" t="n"/>
      <c r="B219" s="17" t="n"/>
      <c r="C219" s="17" t="n"/>
      <c r="D219" s="17" t="n"/>
      <c r="E219" s="17" t="n"/>
      <c r="F219" s="16" t="n"/>
      <c r="G219" s="17" t="n"/>
      <c r="H219" s="17">
        <f>IF(A219="","",COUNTIF(Leads!$P$2:$P$501,A219))</f>
        <v/>
      </c>
      <c r="I219" s="17">
        <f>IF(A219="","",COUNTIFS(Leads!$P$2:$P$501,A219,Leads!$I$2:$I$501,"Won",Leads!$N$2:$N$501,"&gt;="&amp;Settings!$B$7))</f>
        <v/>
      </c>
      <c r="J219" s="18">
        <f>IF(A219="","",SUMIF(Leads!$P$2:$P$501,A219,Leads!$Q$2:$Q$501))</f>
        <v/>
      </c>
      <c r="K219" s="18">
        <f>IF(A219="","",SUMIF(Leads!$P$2:$P$501,A219,Leads!$R$2:$R$501))</f>
        <v/>
      </c>
      <c r="L219" s="18">
        <f>IF(A219="","",IF(I219&gt;=3,Settings!$B$6,0))</f>
        <v/>
      </c>
      <c r="M219" s="18">
        <f>IF(A219="","",J219+L219)</f>
        <v/>
      </c>
      <c r="N219" s="18" t="n"/>
      <c r="O219" s="18">
        <f>IF(A219="","",M219-N219)</f>
        <v/>
      </c>
      <c r="P219" s="17" t="n"/>
    </row>
    <row r="220">
      <c r="A220" s="17" t="n"/>
      <c r="B220" s="17" t="n"/>
      <c r="C220" s="17" t="n"/>
      <c r="D220" s="17" t="n"/>
      <c r="E220" s="17" t="n"/>
      <c r="F220" s="16" t="n"/>
      <c r="G220" s="17" t="n"/>
      <c r="H220" s="17">
        <f>IF(A220="","",COUNTIF(Leads!$P$2:$P$501,A220))</f>
        <v/>
      </c>
      <c r="I220" s="17">
        <f>IF(A220="","",COUNTIFS(Leads!$P$2:$P$501,A220,Leads!$I$2:$I$501,"Won",Leads!$N$2:$N$501,"&gt;="&amp;Settings!$B$7))</f>
        <v/>
      </c>
      <c r="J220" s="18">
        <f>IF(A220="","",SUMIF(Leads!$P$2:$P$501,A220,Leads!$Q$2:$Q$501))</f>
        <v/>
      </c>
      <c r="K220" s="18">
        <f>IF(A220="","",SUMIF(Leads!$P$2:$P$501,A220,Leads!$R$2:$R$501))</f>
        <v/>
      </c>
      <c r="L220" s="18">
        <f>IF(A220="","",IF(I220&gt;=3,Settings!$B$6,0))</f>
        <v/>
      </c>
      <c r="M220" s="18">
        <f>IF(A220="","",J220+L220)</f>
        <v/>
      </c>
      <c r="N220" s="18" t="n"/>
      <c r="O220" s="18">
        <f>IF(A220="","",M220-N220)</f>
        <v/>
      </c>
      <c r="P220" s="17" t="n"/>
    </row>
    <row r="221">
      <c r="A221" s="17" t="n"/>
      <c r="B221" s="17" t="n"/>
      <c r="C221" s="17" t="n"/>
      <c r="D221" s="17" t="n"/>
      <c r="E221" s="17" t="n"/>
      <c r="F221" s="16" t="n"/>
      <c r="G221" s="17" t="n"/>
      <c r="H221" s="17">
        <f>IF(A221="","",COUNTIF(Leads!$P$2:$P$501,A221))</f>
        <v/>
      </c>
      <c r="I221" s="17">
        <f>IF(A221="","",COUNTIFS(Leads!$P$2:$P$501,A221,Leads!$I$2:$I$501,"Won",Leads!$N$2:$N$501,"&gt;="&amp;Settings!$B$7))</f>
        <v/>
      </c>
      <c r="J221" s="18">
        <f>IF(A221="","",SUMIF(Leads!$P$2:$P$501,A221,Leads!$Q$2:$Q$501))</f>
        <v/>
      </c>
      <c r="K221" s="18">
        <f>IF(A221="","",SUMIF(Leads!$P$2:$P$501,A221,Leads!$R$2:$R$501))</f>
        <v/>
      </c>
      <c r="L221" s="18">
        <f>IF(A221="","",IF(I221&gt;=3,Settings!$B$6,0))</f>
        <v/>
      </c>
      <c r="M221" s="18">
        <f>IF(A221="","",J221+L221)</f>
        <v/>
      </c>
      <c r="N221" s="18" t="n"/>
      <c r="O221" s="18">
        <f>IF(A221="","",M221-N221)</f>
        <v/>
      </c>
      <c r="P221" s="17" t="n"/>
    </row>
    <row r="222">
      <c r="A222" s="17" t="n"/>
      <c r="B222" s="17" t="n"/>
      <c r="C222" s="17" t="n"/>
      <c r="D222" s="17" t="n"/>
      <c r="E222" s="17" t="n"/>
      <c r="F222" s="16" t="n"/>
      <c r="G222" s="17" t="n"/>
      <c r="H222" s="17">
        <f>IF(A222="","",COUNTIF(Leads!$P$2:$P$501,A222))</f>
        <v/>
      </c>
      <c r="I222" s="17">
        <f>IF(A222="","",COUNTIFS(Leads!$P$2:$P$501,A222,Leads!$I$2:$I$501,"Won",Leads!$N$2:$N$501,"&gt;="&amp;Settings!$B$7))</f>
        <v/>
      </c>
      <c r="J222" s="18">
        <f>IF(A222="","",SUMIF(Leads!$P$2:$P$501,A222,Leads!$Q$2:$Q$501))</f>
        <v/>
      </c>
      <c r="K222" s="18">
        <f>IF(A222="","",SUMIF(Leads!$P$2:$P$501,A222,Leads!$R$2:$R$501))</f>
        <v/>
      </c>
      <c r="L222" s="18">
        <f>IF(A222="","",IF(I222&gt;=3,Settings!$B$6,0))</f>
        <v/>
      </c>
      <c r="M222" s="18">
        <f>IF(A222="","",J222+L222)</f>
        <v/>
      </c>
      <c r="N222" s="18" t="n"/>
      <c r="O222" s="18">
        <f>IF(A222="","",M222-N222)</f>
        <v/>
      </c>
      <c r="P222" s="17" t="n"/>
    </row>
    <row r="223">
      <c r="A223" s="17" t="n"/>
      <c r="B223" s="17" t="n"/>
      <c r="C223" s="17" t="n"/>
      <c r="D223" s="17" t="n"/>
      <c r="E223" s="17" t="n"/>
      <c r="F223" s="16" t="n"/>
      <c r="G223" s="17" t="n"/>
      <c r="H223" s="17">
        <f>IF(A223="","",COUNTIF(Leads!$P$2:$P$501,A223))</f>
        <v/>
      </c>
      <c r="I223" s="17">
        <f>IF(A223="","",COUNTIFS(Leads!$P$2:$P$501,A223,Leads!$I$2:$I$501,"Won",Leads!$N$2:$N$501,"&gt;="&amp;Settings!$B$7))</f>
        <v/>
      </c>
      <c r="J223" s="18">
        <f>IF(A223="","",SUMIF(Leads!$P$2:$P$501,A223,Leads!$Q$2:$Q$501))</f>
        <v/>
      </c>
      <c r="K223" s="18">
        <f>IF(A223="","",SUMIF(Leads!$P$2:$P$501,A223,Leads!$R$2:$R$501))</f>
        <v/>
      </c>
      <c r="L223" s="18">
        <f>IF(A223="","",IF(I223&gt;=3,Settings!$B$6,0))</f>
        <v/>
      </c>
      <c r="M223" s="18">
        <f>IF(A223="","",J223+L223)</f>
        <v/>
      </c>
      <c r="N223" s="18" t="n"/>
      <c r="O223" s="18">
        <f>IF(A223="","",M223-N223)</f>
        <v/>
      </c>
      <c r="P223" s="17" t="n"/>
    </row>
    <row r="224">
      <c r="A224" s="17" t="n"/>
      <c r="B224" s="17" t="n"/>
      <c r="C224" s="17" t="n"/>
      <c r="D224" s="17" t="n"/>
      <c r="E224" s="17" t="n"/>
      <c r="F224" s="16" t="n"/>
      <c r="G224" s="17" t="n"/>
      <c r="H224" s="17">
        <f>IF(A224="","",COUNTIF(Leads!$P$2:$P$501,A224))</f>
        <v/>
      </c>
      <c r="I224" s="17">
        <f>IF(A224="","",COUNTIFS(Leads!$P$2:$P$501,A224,Leads!$I$2:$I$501,"Won",Leads!$N$2:$N$501,"&gt;="&amp;Settings!$B$7))</f>
        <v/>
      </c>
      <c r="J224" s="18">
        <f>IF(A224="","",SUMIF(Leads!$P$2:$P$501,A224,Leads!$Q$2:$Q$501))</f>
        <v/>
      </c>
      <c r="K224" s="18">
        <f>IF(A224="","",SUMIF(Leads!$P$2:$P$501,A224,Leads!$R$2:$R$501))</f>
        <v/>
      </c>
      <c r="L224" s="18">
        <f>IF(A224="","",IF(I224&gt;=3,Settings!$B$6,0))</f>
        <v/>
      </c>
      <c r="M224" s="18">
        <f>IF(A224="","",J224+L224)</f>
        <v/>
      </c>
      <c r="N224" s="18" t="n"/>
      <c r="O224" s="18">
        <f>IF(A224="","",M224-N224)</f>
        <v/>
      </c>
      <c r="P224" s="17" t="n"/>
    </row>
    <row r="225">
      <c r="A225" s="17" t="n"/>
      <c r="B225" s="17" t="n"/>
      <c r="C225" s="17" t="n"/>
      <c r="D225" s="17" t="n"/>
      <c r="E225" s="17" t="n"/>
      <c r="F225" s="16" t="n"/>
      <c r="G225" s="17" t="n"/>
      <c r="H225" s="17">
        <f>IF(A225="","",COUNTIF(Leads!$P$2:$P$501,A225))</f>
        <v/>
      </c>
      <c r="I225" s="17">
        <f>IF(A225="","",COUNTIFS(Leads!$P$2:$P$501,A225,Leads!$I$2:$I$501,"Won",Leads!$N$2:$N$501,"&gt;="&amp;Settings!$B$7))</f>
        <v/>
      </c>
      <c r="J225" s="18">
        <f>IF(A225="","",SUMIF(Leads!$P$2:$P$501,A225,Leads!$Q$2:$Q$501))</f>
        <v/>
      </c>
      <c r="K225" s="18">
        <f>IF(A225="","",SUMIF(Leads!$P$2:$P$501,A225,Leads!$R$2:$R$501))</f>
        <v/>
      </c>
      <c r="L225" s="18">
        <f>IF(A225="","",IF(I225&gt;=3,Settings!$B$6,0))</f>
        <v/>
      </c>
      <c r="M225" s="18">
        <f>IF(A225="","",J225+L225)</f>
        <v/>
      </c>
      <c r="N225" s="18" t="n"/>
      <c r="O225" s="18">
        <f>IF(A225="","",M225-N225)</f>
        <v/>
      </c>
      <c r="P225" s="17" t="n"/>
    </row>
    <row r="226">
      <c r="A226" s="17" t="n"/>
      <c r="B226" s="17" t="n"/>
      <c r="C226" s="17" t="n"/>
      <c r="D226" s="17" t="n"/>
      <c r="E226" s="17" t="n"/>
      <c r="F226" s="16" t="n"/>
      <c r="G226" s="17" t="n"/>
      <c r="H226" s="17">
        <f>IF(A226="","",COUNTIF(Leads!$P$2:$P$501,A226))</f>
        <v/>
      </c>
      <c r="I226" s="17">
        <f>IF(A226="","",COUNTIFS(Leads!$P$2:$P$501,A226,Leads!$I$2:$I$501,"Won",Leads!$N$2:$N$501,"&gt;="&amp;Settings!$B$7))</f>
        <v/>
      </c>
      <c r="J226" s="18">
        <f>IF(A226="","",SUMIF(Leads!$P$2:$P$501,A226,Leads!$Q$2:$Q$501))</f>
        <v/>
      </c>
      <c r="K226" s="18">
        <f>IF(A226="","",SUMIF(Leads!$P$2:$P$501,A226,Leads!$R$2:$R$501))</f>
        <v/>
      </c>
      <c r="L226" s="18">
        <f>IF(A226="","",IF(I226&gt;=3,Settings!$B$6,0))</f>
        <v/>
      </c>
      <c r="M226" s="18">
        <f>IF(A226="","",J226+L226)</f>
        <v/>
      </c>
      <c r="N226" s="18" t="n"/>
      <c r="O226" s="18">
        <f>IF(A226="","",M226-N226)</f>
        <v/>
      </c>
      <c r="P226" s="17" t="n"/>
    </row>
    <row r="227">
      <c r="A227" s="17" t="n"/>
      <c r="B227" s="17" t="n"/>
      <c r="C227" s="17" t="n"/>
      <c r="D227" s="17" t="n"/>
      <c r="E227" s="17" t="n"/>
      <c r="F227" s="16" t="n"/>
      <c r="G227" s="17" t="n"/>
      <c r="H227" s="17">
        <f>IF(A227="","",COUNTIF(Leads!$P$2:$P$501,A227))</f>
        <v/>
      </c>
      <c r="I227" s="17">
        <f>IF(A227="","",COUNTIFS(Leads!$P$2:$P$501,A227,Leads!$I$2:$I$501,"Won",Leads!$N$2:$N$501,"&gt;="&amp;Settings!$B$7))</f>
        <v/>
      </c>
      <c r="J227" s="18">
        <f>IF(A227="","",SUMIF(Leads!$P$2:$P$501,A227,Leads!$Q$2:$Q$501))</f>
        <v/>
      </c>
      <c r="K227" s="18">
        <f>IF(A227="","",SUMIF(Leads!$P$2:$P$501,A227,Leads!$R$2:$R$501))</f>
        <v/>
      </c>
      <c r="L227" s="18">
        <f>IF(A227="","",IF(I227&gt;=3,Settings!$B$6,0))</f>
        <v/>
      </c>
      <c r="M227" s="18">
        <f>IF(A227="","",J227+L227)</f>
        <v/>
      </c>
      <c r="N227" s="18" t="n"/>
      <c r="O227" s="18">
        <f>IF(A227="","",M227-N227)</f>
        <v/>
      </c>
      <c r="P227" s="17" t="n"/>
    </row>
    <row r="228">
      <c r="A228" s="17" t="n"/>
      <c r="B228" s="17" t="n"/>
      <c r="C228" s="17" t="n"/>
      <c r="D228" s="17" t="n"/>
      <c r="E228" s="17" t="n"/>
      <c r="F228" s="16" t="n"/>
      <c r="G228" s="17" t="n"/>
      <c r="H228" s="17">
        <f>IF(A228="","",COUNTIF(Leads!$P$2:$P$501,A228))</f>
        <v/>
      </c>
      <c r="I228" s="17">
        <f>IF(A228="","",COUNTIFS(Leads!$P$2:$P$501,A228,Leads!$I$2:$I$501,"Won",Leads!$N$2:$N$501,"&gt;="&amp;Settings!$B$7))</f>
        <v/>
      </c>
      <c r="J228" s="18">
        <f>IF(A228="","",SUMIF(Leads!$P$2:$P$501,A228,Leads!$Q$2:$Q$501))</f>
        <v/>
      </c>
      <c r="K228" s="18">
        <f>IF(A228="","",SUMIF(Leads!$P$2:$P$501,A228,Leads!$R$2:$R$501))</f>
        <v/>
      </c>
      <c r="L228" s="18">
        <f>IF(A228="","",IF(I228&gt;=3,Settings!$B$6,0))</f>
        <v/>
      </c>
      <c r="M228" s="18">
        <f>IF(A228="","",J228+L228)</f>
        <v/>
      </c>
      <c r="N228" s="18" t="n"/>
      <c r="O228" s="18">
        <f>IF(A228="","",M228-N228)</f>
        <v/>
      </c>
      <c r="P228" s="17" t="n"/>
    </row>
    <row r="229">
      <c r="A229" s="17" t="n"/>
      <c r="B229" s="17" t="n"/>
      <c r="C229" s="17" t="n"/>
      <c r="D229" s="17" t="n"/>
      <c r="E229" s="17" t="n"/>
      <c r="F229" s="16" t="n"/>
      <c r="G229" s="17" t="n"/>
      <c r="H229" s="17">
        <f>IF(A229="","",COUNTIF(Leads!$P$2:$P$501,A229))</f>
        <v/>
      </c>
      <c r="I229" s="17">
        <f>IF(A229="","",COUNTIFS(Leads!$P$2:$P$501,A229,Leads!$I$2:$I$501,"Won",Leads!$N$2:$N$501,"&gt;="&amp;Settings!$B$7))</f>
        <v/>
      </c>
      <c r="J229" s="18">
        <f>IF(A229="","",SUMIF(Leads!$P$2:$P$501,A229,Leads!$Q$2:$Q$501))</f>
        <v/>
      </c>
      <c r="K229" s="18">
        <f>IF(A229="","",SUMIF(Leads!$P$2:$P$501,A229,Leads!$R$2:$R$501))</f>
        <v/>
      </c>
      <c r="L229" s="18">
        <f>IF(A229="","",IF(I229&gt;=3,Settings!$B$6,0))</f>
        <v/>
      </c>
      <c r="M229" s="18">
        <f>IF(A229="","",J229+L229)</f>
        <v/>
      </c>
      <c r="N229" s="18" t="n"/>
      <c r="O229" s="18">
        <f>IF(A229="","",M229-N229)</f>
        <v/>
      </c>
      <c r="P229" s="17" t="n"/>
    </row>
    <row r="230">
      <c r="A230" s="17" t="n"/>
      <c r="B230" s="17" t="n"/>
      <c r="C230" s="17" t="n"/>
      <c r="D230" s="17" t="n"/>
      <c r="E230" s="17" t="n"/>
      <c r="F230" s="16" t="n"/>
      <c r="G230" s="17" t="n"/>
      <c r="H230" s="17">
        <f>IF(A230="","",COUNTIF(Leads!$P$2:$P$501,A230))</f>
        <v/>
      </c>
      <c r="I230" s="17">
        <f>IF(A230="","",COUNTIFS(Leads!$P$2:$P$501,A230,Leads!$I$2:$I$501,"Won",Leads!$N$2:$N$501,"&gt;="&amp;Settings!$B$7))</f>
        <v/>
      </c>
      <c r="J230" s="18">
        <f>IF(A230="","",SUMIF(Leads!$P$2:$P$501,A230,Leads!$Q$2:$Q$501))</f>
        <v/>
      </c>
      <c r="K230" s="18">
        <f>IF(A230="","",SUMIF(Leads!$P$2:$P$501,A230,Leads!$R$2:$R$501))</f>
        <v/>
      </c>
      <c r="L230" s="18">
        <f>IF(A230="","",IF(I230&gt;=3,Settings!$B$6,0))</f>
        <v/>
      </c>
      <c r="M230" s="18">
        <f>IF(A230="","",J230+L230)</f>
        <v/>
      </c>
      <c r="N230" s="18" t="n"/>
      <c r="O230" s="18">
        <f>IF(A230="","",M230-N230)</f>
        <v/>
      </c>
      <c r="P230" s="17" t="n"/>
    </row>
    <row r="231">
      <c r="A231" s="17" t="n"/>
      <c r="B231" s="17" t="n"/>
      <c r="C231" s="17" t="n"/>
      <c r="D231" s="17" t="n"/>
      <c r="E231" s="17" t="n"/>
      <c r="F231" s="16" t="n"/>
      <c r="G231" s="17" t="n"/>
      <c r="H231" s="17">
        <f>IF(A231="","",COUNTIF(Leads!$P$2:$P$501,A231))</f>
        <v/>
      </c>
      <c r="I231" s="17">
        <f>IF(A231="","",COUNTIFS(Leads!$P$2:$P$501,A231,Leads!$I$2:$I$501,"Won",Leads!$N$2:$N$501,"&gt;="&amp;Settings!$B$7))</f>
        <v/>
      </c>
      <c r="J231" s="18">
        <f>IF(A231="","",SUMIF(Leads!$P$2:$P$501,A231,Leads!$Q$2:$Q$501))</f>
        <v/>
      </c>
      <c r="K231" s="18">
        <f>IF(A231="","",SUMIF(Leads!$P$2:$P$501,A231,Leads!$R$2:$R$501))</f>
        <v/>
      </c>
      <c r="L231" s="18">
        <f>IF(A231="","",IF(I231&gt;=3,Settings!$B$6,0))</f>
        <v/>
      </c>
      <c r="M231" s="18">
        <f>IF(A231="","",J231+L231)</f>
        <v/>
      </c>
      <c r="N231" s="18" t="n"/>
      <c r="O231" s="18">
        <f>IF(A231="","",M231-N231)</f>
        <v/>
      </c>
      <c r="P231" s="17" t="n"/>
    </row>
    <row r="232">
      <c r="A232" s="17" t="n"/>
      <c r="B232" s="17" t="n"/>
      <c r="C232" s="17" t="n"/>
      <c r="D232" s="17" t="n"/>
      <c r="E232" s="17" t="n"/>
      <c r="F232" s="16" t="n"/>
      <c r="G232" s="17" t="n"/>
      <c r="H232" s="17">
        <f>IF(A232="","",COUNTIF(Leads!$P$2:$P$501,A232))</f>
        <v/>
      </c>
      <c r="I232" s="17">
        <f>IF(A232="","",COUNTIFS(Leads!$P$2:$P$501,A232,Leads!$I$2:$I$501,"Won",Leads!$N$2:$N$501,"&gt;="&amp;Settings!$B$7))</f>
        <v/>
      </c>
      <c r="J232" s="18">
        <f>IF(A232="","",SUMIF(Leads!$P$2:$P$501,A232,Leads!$Q$2:$Q$501))</f>
        <v/>
      </c>
      <c r="K232" s="18">
        <f>IF(A232="","",SUMIF(Leads!$P$2:$P$501,A232,Leads!$R$2:$R$501))</f>
        <v/>
      </c>
      <c r="L232" s="18">
        <f>IF(A232="","",IF(I232&gt;=3,Settings!$B$6,0))</f>
        <v/>
      </c>
      <c r="M232" s="18">
        <f>IF(A232="","",J232+L232)</f>
        <v/>
      </c>
      <c r="N232" s="18" t="n"/>
      <c r="O232" s="18">
        <f>IF(A232="","",M232-N232)</f>
        <v/>
      </c>
      <c r="P232" s="17" t="n"/>
    </row>
    <row r="233">
      <c r="A233" s="17" t="n"/>
      <c r="B233" s="17" t="n"/>
      <c r="C233" s="17" t="n"/>
      <c r="D233" s="17" t="n"/>
      <c r="E233" s="17" t="n"/>
      <c r="F233" s="16" t="n"/>
      <c r="G233" s="17" t="n"/>
      <c r="H233" s="17">
        <f>IF(A233="","",COUNTIF(Leads!$P$2:$P$501,A233))</f>
        <v/>
      </c>
      <c r="I233" s="17">
        <f>IF(A233="","",COUNTIFS(Leads!$P$2:$P$501,A233,Leads!$I$2:$I$501,"Won",Leads!$N$2:$N$501,"&gt;="&amp;Settings!$B$7))</f>
        <v/>
      </c>
      <c r="J233" s="18">
        <f>IF(A233="","",SUMIF(Leads!$P$2:$P$501,A233,Leads!$Q$2:$Q$501))</f>
        <v/>
      </c>
      <c r="K233" s="18">
        <f>IF(A233="","",SUMIF(Leads!$P$2:$P$501,A233,Leads!$R$2:$R$501))</f>
        <v/>
      </c>
      <c r="L233" s="18">
        <f>IF(A233="","",IF(I233&gt;=3,Settings!$B$6,0))</f>
        <v/>
      </c>
      <c r="M233" s="18">
        <f>IF(A233="","",J233+L233)</f>
        <v/>
      </c>
      <c r="N233" s="18" t="n"/>
      <c r="O233" s="18">
        <f>IF(A233="","",M233-N233)</f>
        <v/>
      </c>
      <c r="P233" s="17" t="n"/>
    </row>
    <row r="234">
      <c r="A234" s="17" t="n"/>
      <c r="B234" s="17" t="n"/>
      <c r="C234" s="17" t="n"/>
      <c r="D234" s="17" t="n"/>
      <c r="E234" s="17" t="n"/>
      <c r="F234" s="16" t="n"/>
      <c r="G234" s="17" t="n"/>
      <c r="H234" s="17">
        <f>IF(A234="","",COUNTIF(Leads!$P$2:$P$501,A234))</f>
        <v/>
      </c>
      <c r="I234" s="17">
        <f>IF(A234="","",COUNTIFS(Leads!$P$2:$P$501,A234,Leads!$I$2:$I$501,"Won",Leads!$N$2:$N$501,"&gt;="&amp;Settings!$B$7))</f>
        <v/>
      </c>
      <c r="J234" s="18">
        <f>IF(A234="","",SUMIF(Leads!$P$2:$P$501,A234,Leads!$Q$2:$Q$501))</f>
        <v/>
      </c>
      <c r="K234" s="18">
        <f>IF(A234="","",SUMIF(Leads!$P$2:$P$501,A234,Leads!$R$2:$R$501))</f>
        <v/>
      </c>
      <c r="L234" s="18">
        <f>IF(A234="","",IF(I234&gt;=3,Settings!$B$6,0))</f>
        <v/>
      </c>
      <c r="M234" s="18">
        <f>IF(A234="","",J234+L234)</f>
        <v/>
      </c>
      <c r="N234" s="18" t="n"/>
      <c r="O234" s="18">
        <f>IF(A234="","",M234-N234)</f>
        <v/>
      </c>
      <c r="P234" s="17" t="n"/>
    </row>
    <row r="235">
      <c r="A235" s="17" t="n"/>
      <c r="B235" s="17" t="n"/>
      <c r="C235" s="17" t="n"/>
      <c r="D235" s="17" t="n"/>
      <c r="E235" s="17" t="n"/>
      <c r="F235" s="16" t="n"/>
      <c r="G235" s="17" t="n"/>
      <c r="H235" s="17">
        <f>IF(A235="","",COUNTIF(Leads!$P$2:$P$501,A235))</f>
        <v/>
      </c>
      <c r="I235" s="17">
        <f>IF(A235="","",COUNTIFS(Leads!$P$2:$P$501,A235,Leads!$I$2:$I$501,"Won",Leads!$N$2:$N$501,"&gt;="&amp;Settings!$B$7))</f>
        <v/>
      </c>
      <c r="J235" s="18">
        <f>IF(A235="","",SUMIF(Leads!$P$2:$P$501,A235,Leads!$Q$2:$Q$501))</f>
        <v/>
      </c>
      <c r="K235" s="18">
        <f>IF(A235="","",SUMIF(Leads!$P$2:$P$501,A235,Leads!$R$2:$R$501))</f>
        <v/>
      </c>
      <c r="L235" s="18">
        <f>IF(A235="","",IF(I235&gt;=3,Settings!$B$6,0))</f>
        <v/>
      </c>
      <c r="M235" s="18">
        <f>IF(A235="","",J235+L235)</f>
        <v/>
      </c>
      <c r="N235" s="18" t="n"/>
      <c r="O235" s="18">
        <f>IF(A235="","",M235-N235)</f>
        <v/>
      </c>
      <c r="P235" s="17" t="n"/>
    </row>
    <row r="236">
      <c r="A236" s="17" t="n"/>
      <c r="B236" s="17" t="n"/>
      <c r="C236" s="17" t="n"/>
      <c r="D236" s="17" t="n"/>
      <c r="E236" s="17" t="n"/>
      <c r="F236" s="16" t="n"/>
      <c r="G236" s="17" t="n"/>
      <c r="H236" s="17">
        <f>IF(A236="","",COUNTIF(Leads!$P$2:$P$501,A236))</f>
        <v/>
      </c>
      <c r="I236" s="17">
        <f>IF(A236="","",COUNTIFS(Leads!$P$2:$P$501,A236,Leads!$I$2:$I$501,"Won",Leads!$N$2:$N$501,"&gt;="&amp;Settings!$B$7))</f>
        <v/>
      </c>
      <c r="J236" s="18">
        <f>IF(A236="","",SUMIF(Leads!$P$2:$P$501,A236,Leads!$Q$2:$Q$501))</f>
        <v/>
      </c>
      <c r="K236" s="18">
        <f>IF(A236="","",SUMIF(Leads!$P$2:$P$501,A236,Leads!$R$2:$R$501))</f>
        <v/>
      </c>
      <c r="L236" s="18">
        <f>IF(A236="","",IF(I236&gt;=3,Settings!$B$6,0))</f>
        <v/>
      </c>
      <c r="M236" s="18">
        <f>IF(A236="","",J236+L236)</f>
        <v/>
      </c>
      <c r="N236" s="18" t="n"/>
      <c r="O236" s="18">
        <f>IF(A236="","",M236-N236)</f>
        <v/>
      </c>
      <c r="P236" s="17" t="n"/>
    </row>
    <row r="237">
      <c r="A237" s="17" t="n"/>
      <c r="B237" s="17" t="n"/>
      <c r="C237" s="17" t="n"/>
      <c r="D237" s="17" t="n"/>
      <c r="E237" s="17" t="n"/>
      <c r="F237" s="16" t="n"/>
      <c r="G237" s="17" t="n"/>
      <c r="H237" s="17">
        <f>IF(A237="","",COUNTIF(Leads!$P$2:$P$501,A237))</f>
        <v/>
      </c>
      <c r="I237" s="17">
        <f>IF(A237="","",COUNTIFS(Leads!$P$2:$P$501,A237,Leads!$I$2:$I$501,"Won",Leads!$N$2:$N$501,"&gt;="&amp;Settings!$B$7))</f>
        <v/>
      </c>
      <c r="J237" s="18">
        <f>IF(A237="","",SUMIF(Leads!$P$2:$P$501,A237,Leads!$Q$2:$Q$501))</f>
        <v/>
      </c>
      <c r="K237" s="18">
        <f>IF(A237="","",SUMIF(Leads!$P$2:$P$501,A237,Leads!$R$2:$R$501))</f>
        <v/>
      </c>
      <c r="L237" s="18">
        <f>IF(A237="","",IF(I237&gt;=3,Settings!$B$6,0))</f>
        <v/>
      </c>
      <c r="M237" s="18">
        <f>IF(A237="","",J237+L237)</f>
        <v/>
      </c>
      <c r="N237" s="18" t="n"/>
      <c r="O237" s="18">
        <f>IF(A237="","",M237-N237)</f>
        <v/>
      </c>
      <c r="P237" s="17" t="n"/>
    </row>
    <row r="238">
      <c r="A238" s="17" t="n"/>
      <c r="B238" s="17" t="n"/>
      <c r="C238" s="17" t="n"/>
      <c r="D238" s="17" t="n"/>
      <c r="E238" s="17" t="n"/>
      <c r="F238" s="16" t="n"/>
      <c r="G238" s="17" t="n"/>
      <c r="H238" s="17">
        <f>IF(A238="","",COUNTIF(Leads!$P$2:$P$501,A238))</f>
        <v/>
      </c>
      <c r="I238" s="17">
        <f>IF(A238="","",COUNTIFS(Leads!$P$2:$P$501,A238,Leads!$I$2:$I$501,"Won",Leads!$N$2:$N$501,"&gt;="&amp;Settings!$B$7))</f>
        <v/>
      </c>
      <c r="J238" s="18">
        <f>IF(A238="","",SUMIF(Leads!$P$2:$P$501,A238,Leads!$Q$2:$Q$501))</f>
        <v/>
      </c>
      <c r="K238" s="18">
        <f>IF(A238="","",SUMIF(Leads!$P$2:$P$501,A238,Leads!$R$2:$R$501))</f>
        <v/>
      </c>
      <c r="L238" s="18">
        <f>IF(A238="","",IF(I238&gt;=3,Settings!$B$6,0))</f>
        <v/>
      </c>
      <c r="M238" s="18">
        <f>IF(A238="","",J238+L238)</f>
        <v/>
      </c>
      <c r="N238" s="18" t="n"/>
      <c r="O238" s="18">
        <f>IF(A238="","",M238-N238)</f>
        <v/>
      </c>
      <c r="P238" s="17" t="n"/>
    </row>
    <row r="239">
      <c r="A239" s="17" t="n"/>
      <c r="B239" s="17" t="n"/>
      <c r="C239" s="17" t="n"/>
      <c r="D239" s="17" t="n"/>
      <c r="E239" s="17" t="n"/>
      <c r="F239" s="16" t="n"/>
      <c r="G239" s="17" t="n"/>
      <c r="H239" s="17">
        <f>IF(A239="","",COUNTIF(Leads!$P$2:$P$501,A239))</f>
        <v/>
      </c>
      <c r="I239" s="17">
        <f>IF(A239="","",COUNTIFS(Leads!$P$2:$P$501,A239,Leads!$I$2:$I$501,"Won",Leads!$N$2:$N$501,"&gt;="&amp;Settings!$B$7))</f>
        <v/>
      </c>
      <c r="J239" s="18">
        <f>IF(A239="","",SUMIF(Leads!$P$2:$P$501,A239,Leads!$Q$2:$Q$501))</f>
        <v/>
      </c>
      <c r="K239" s="18">
        <f>IF(A239="","",SUMIF(Leads!$P$2:$P$501,A239,Leads!$R$2:$R$501))</f>
        <v/>
      </c>
      <c r="L239" s="18">
        <f>IF(A239="","",IF(I239&gt;=3,Settings!$B$6,0))</f>
        <v/>
      </c>
      <c r="M239" s="18">
        <f>IF(A239="","",J239+L239)</f>
        <v/>
      </c>
      <c r="N239" s="18" t="n"/>
      <c r="O239" s="18">
        <f>IF(A239="","",M239-N239)</f>
        <v/>
      </c>
      <c r="P239" s="17" t="n"/>
    </row>
    <row r="240">
      <c r="A240" s="17" t="n"/>
      <c r="B240" s="17" t="n"/>
      <c r="C240" s="17" t="n"/>
      <c r="D240" s="17" t="n"/>
      <c r="E240" s="17" t="n"/>
      <c r="F240" s="16" t="n"/>
      <c r="G240" s="17" t="n"/>
      <c r="H240" s="17">
        <f>IF(A240="","",COUNTIF(Leads!$P$2:$P$501,A240))</f>
        <v/>
      </c>
      <c r="I240" s="17">
        <f>IF(A240="","",COUNTIFS(Leads!$P$2:$P$501,A240,Leads!$I$2:$I$501,"Won",Leads!$N$2:$N$501,"&gt;="&amp;Settings!$B$7))</f>
        <v/>
      </c>
      <c r="J240" s="18">
        <f>IF(A240="","",SUMIF(Leads!$P$2:$P$501,A240,Leads!$Q$2:$Q$501))</f>
        <v/>
      </c>
      <c r="K240" s="18">
        <f>IF(A240="","",SUMIF(Leads!$P$2:$P$501,A240,Leads!$R$2:$R$501))</f>
        <v/>
      </c>
      <c r="L240" s="18">
        <f>IF(A240="","",IF(I240&gt;=3,Settings!$B$6,0))</f>
        <v/>
      </c>
      <c r="M240" s="18">
        <f>IF(A240="","",J240+L240)</f>
        <v/>
      </c>
      <c r="N240" s="18" t="n"/>
      <c r="O240" s="18">
        <f>IF(A240="","",M240-N240)</f>
        <v/>
      </c>
      <c r="P240" s="17" t="n"/>
    </row>
    <row r="241">
      <c r="A241" s="17" t="n"/>
      <c r="B241" s="17" t="n"/>
      <c r="C241" s="17" t="n"/>
      <c r="D241" s="17" t="n"/>
      <c r="E241" s="17" t="n"/>
      <c r="F241" s="16" t="n"/>
      <c r="G241" s="17" t="n"/>
      <c r="H241" s="17">
        <f>IF(A241="","",COUNTIF(Leads!$P$2:$P$501,A241))</f>
        <v/>
      </c>
      <c r="I241" s="17">
        <f>IF(A241="","",COUNTIFS(Leads!$P$2:$P$501,A241,Leads!$I$2:$I$501,"Won",Leads!$N$2:$N$501,"&gt;="&amp;Settings!$B$7))</f>
        <v/>
      </c>
      <c r="J241" s="18">
        <f>IF(A241="","",SUMIF(Leads!$P$2:$P$501,A241,Leads!$Q$2:$Q$501))</f>
        <v/>
      </c>
      <c r="K241" s="18">
        <f>IF(A241="","",SUMIF(Leads!$P$2:$P$501,A241,Leads!$R$2:$R$501))</f>
        <v/>
      </c>
      <c r="L241" s="18">
        <f>IF(A241="","",IF(I241&gt;=3,Settings!$B$6,0))</f>
        <v/>
      </c>
      <c r="M241" s="18">
        <f>IF(A241="","",J241+L241)</f>
        <v/>
      </c>
      <c r="N241" s="18" t="n"/>
      <c r="O241" s="18">
        <f>IF(A241="","",M241-N241)</f>
        <v/>
      </c>
      <c r="P241" s="17" t="n"/>
    </row>
    <row r="242">
      <c r="A242" s="17" t="n"/>
      <c r="B242" s="17" t="n"/>
      <c r="C242" s="17" t="n"/>
      <c r="D242" s="17" t="n"/>
      <c r="E242" s="17" t="n"/>
      <c r="F242" s="16" t="n"/>
      <c r="G242" s="17" t="n"/>
      <c r="H242" s="17">
        <f>IF(A242="","",COUNTIF(Leads!$P$2:$P$501,A242))</f>
        <v/>
      </c>
      <c r="I242" s="17">
        <f>IF(A242="","",COUNTIFS(Leads!$P$2:$P$501,A242,Leads!$I$2:$I$501,"Won",Leads!$N$2:$N$501,"&gt;="&amp;Settings!$B$7))</f>
        <v/>
      </c>
      <c r="J242" s="18">
        <f>IF(A242="","",SUMIF(Leads!$P$2:$P$501,A242,Leads!$Q$2:$Q$501))</f>
        <v/>
      </c>
      <c r="K242" s="18">
        <f>IF(A242="","",SUMIF(Leads!$P$2:$P$501,A242,Leads!$R$2:$R$501))</f>
        <v/>
      </c>
      <c r="L242" s="18">
        <f>IF(A242="","",IF(I242&gt;=3,Settings!$B$6,0))</f>
        <v/>
      </c>
      <c r="M242" s="18">
        <f>IF(A242="","",J242+L242)</f>
        <v/>
      </c>
      <c r="N242" s="18" t="n"/>
      <c r="O242" s="18">
        <f>IF(A242="","",M242-N242)</f>
        <v/>
      </c>
      <c r="P242" s="17" t="n"/>
    </row>
    <row r="243">
      <c r="A243" s="17" t="n"/>
      <c r="B243" s="17" t="n"/>
      <c r="C243" s="17" t="n"/>
      <c r="D243" s="17" t="n"/>
      <c r="E243" s="17" t="n"/>
      <c r="F243" s="16" t="n"/>
      <c r="G243" s="17" t="n"/>
      <c r="H243" s="17">
        <f>IF(A243="","",COUNTIF(Leads!$P$2:$P$501,A243))</f>
        <v/>
      </c>
      <c r="I243" s="17">
        <f>IF(A243="","",COUNTIFS(Leads!$P$2:$P$501,A243,Leads!$I$2:$I$501,"Won",Leads!$N$2:$N$501,"&gt;="&amp;Settings!$B$7))</f>
        <v/>
      </c>
      <c r="J243" s="18">
        <f>IF(A243="","",SUMIF(Leads!$P$2:$P$501,A243,Leads!$Q$2:$Q$501))</f>
        <v/>
      </c>
      <c r="K243" s="18">
        <f>IF(A243="","",SUMIF(Leads!$P$2:$P$501,A243,Leads!$R$2:$R$501))</f>
        <v/>
      </c>
      <c r="L243" s="18">
        <f>IF(A243="","",IF(I243&gt;=3,Settings!$B$6,0))</f>
        <v/>
      </c>
      <c r="M243" s="18">
        <f>IF(A243="","",J243+L243)</f>
        <v/>
      </c>
      <c r="N243" s="18" t="n"/>
      <c r="O243" s="18">
        <f>IF(A243="","",M243-N243)</f>
        <v/>
      </c>
      <c r="P243" s="17" t="n"/>
    </row>
    <row r="244">
      <c r="A244" s="17" t="n"/>
      <c r="B244" s="17" t="n"/>
      <c r="C244" s="17" t="n"/>
      <c r="D244" s="17" t="n"/>
      <c r="E244" s="17" t="n"/>
      <c r="F244" s="16" t="n"/>
      <c r="G244" s="17" t="n"/>
      <c r="H244" s="17">
        <f>IF(A244="","",COUNTIF(Leads!$P$2:$P$501,A244))</f>
        <v/>
      </c>
      <c r="I244" s="17">
        <f>IF(A244="","",COUNTIFS(Leads!$P$2:$P$501,A244,Leads!$I$2:$I$501,"Won",Leads!$N$2:$N$501,"&gt;="&amp;Settings!$B$7))</f>
        <v/>
      </c>
      <c r="J244" s="18">
        <f>IF(A244="","",SUMIF(Leads!$P$2:$P$501,A244,Leads!$Q$2:$Q$501))</f>
        <v/>
      </c>
      <c r="K244" s="18">
        <f>IF(A244="","",SUMIF(Leads!$P$2:$P$501,A244,Leads!$R$2:$R$501))</f>
        <v/>
      </c>
      <c r="L244" s="18">
        <f>IF(A244="","",IF(I244&gt;=3,Settings!$B$6,0))</f>
        <v/>
      </c>
      <c r="M244" s="18">
        <f>IF(A244="","",J244+L244)</f>
        <v/>
      </c>
      <c r="N244" s="18" t="n"/>
      <c r="O244" s="18">
        <f>IF(A244="","",M244-N244)</f>
        <v/>
      </c>
      <c r="P244" s="17" t="n"/>
    </row>
    <row r="245">
      <c r="A245" s="17" t="n"/>
      <c r="B245" s="17" t="n"/>
      <c r="C245" s="17" t="n"/>
      <c r="D245" s="17" t="n"/>
      <c r="E245" s="17" t="n"/>
      <c r="F245" s="16" t="n"/>
      <c r="G245" s="17" t="n"/>
      <c r="H245" s="17">
        <f>IF(A245="","",COUNTIF(Leads!$P$2:$P$501,A245))</f>
        <v/>
      </c>
      <c r="I245" s="17">
        <f>IF(A245="","",COUNTIFS(Leads!$P$2:$P$501,A245,Leads!$I$2:$I$501,"Won",Leads!$N$2:$N$501,"&gt;="&amp;Settings!$B$7))</f>
        <v/>
      </c>
      <c r="J245" s="18">
        <f>IF(A245="","",SUMIF(Leads!$P$2:$P$501,A245,Leads!$Q$2:$Q$501))</f>
        <v/>
      </c>
      <c r="K245" s="18">
        <f>IF(A245="","",SUMIF(Leads!$P$2:$P$501,A245,Leads!$R$2:$R$501))</f>
        <v/>
      </c>
      <c r="L245" s="18">
        <f>IF(A245="","",IF(I245&gt;=3,Settings!$B$6,0))</f>
        <v/>
      </c>
      <c r="M245" s="18">
        <f>IF(A245="","",J245+L245)</f>
        <v/>
      </c>
      <c r="N245" s="18" t="n"/>
      <c r="O245" s="18">
        <f>IF(A245="","",M245-N245)</f>
        <v/>
      </c>
      <c r="P245" s="17" t="n"/>
    </row>
    <row r="246">
      <c r="A246" s="17" t="n"/>
      <c r="B246" s="17" t="n"/>
      <c r="C246" s="17" t="n"/>
      <c r="D246" s="17" t="n"/>
      <c r="E246" s="17" t="n"/>
      <c r="F246" s="16" t="n"/>
      <c r="G246" s="17" t="n"/>
      <c r="H246" s="17">
        <f>IF(A246="","",COUNTIF(Leads!$P$2:$P$501,A246))</f>
        <v/>
      </c>
      <c r="I246" s="17">
        <f>IF(A246="","",COUNTIFS(Leads!$P$2:$P$501,A246,Leads!$I$2:$I$501,"Won",Leads!$N$2:$N$501,"&gt;="&amp;Settings!$B$7))</f>
        <v/>
      </c>
      <c r="J246" s="18">
        <f>IF(A246="","",SUMIF(Leads!$P$2:$P$501,A246,Leads!$Q$2:$Q$501))</f>
        <v/>
      </c>
      <c r="K246" s="18">
        <f>IF(A246="","",SUMIF(Leads!$P$2:$P$501,A246,Leads!$R$2:$R$501))</f>
        <v/>
      </c>
      <c r="L246" s="18">
        <f>IF(A246="","",IF(I246&gt;=3,Settings!$B$6,0))</f>
        <v/>
      </c>
      <c r="M246" s="18">
        <f>IF(A246="","",J246+L246)</f>
        <v/>
      </c>
      <c r="N246" s="18" t="n"/>
      <c r="O246" s="18">
        <f>IF(A246="","",M246-N246)</f>
        <v/>
      </c>
      <c r="P246" s="17" t="n"/>
    </row>
    <row r="247">
      <c r="A247" s="17" t="n"/>
      <c r="B247" s="17" t="n"/>
      <c r="C247" s="17" t="n"/>
      <c r="D247" s="17" t="n"/>
      <c r="E247" s="17" t="n"/>
      <c r="F247" s="16" t="n"/>
      <c r="G247" s="17" t="n"/>
      <c r="H247" s="17">
        <f>IF(A247="","",COUNTIF(Leads!$P$2:$P$501,A247))</f>
        <v/>
      </c>
      <c r="I247" s="17">
        <f>IF(A247="","",COUNTIFS(Leads!$P$2:$P$501,A247,Leads!$I$2:$I$501,"Won",Leads!$N$2:$N$501,"&gt;="&amp;Settings!$B$7))</f>
        <v/>
      </c>
      <c r="J247" s="18">
        <f>IF(A247="","",SUMIF(Leads!$P$2:$P$501,A247,Leads!$Q$2:$Q$501))</f>
        <v/>
      </c>
      <c r="K247" s="18">
        <f>IF(A247="","",SUMIF(Leads!$P$2:$P$501,A247,Leads!$R$2:$R$501))</f>
        <v/>
      </c>
      <c r="L247" s="18">
        <f>IF(A247="","",IF(I247&gt;=3,Settings!$B$6,0))</f>
        <v/>
      </c>
      <c r="M247" s="18">
        <f>IF(A247="","",J247+L247)</f>
        <v/>
      </c>
      <c r="N247" s="18" t="n"/>
      <c r="O247" s="18">
        <f>IF(A247="","",M247-N247)</f>
        <v/>
      </c>
      <c r="P247" s="17" t="n"/>
    </row>
    <row r="248">
      <c r="A248" s="17" t="n"/>
      <c r="B248" s="17" t="n"/>
      <c r="C248" s="17" t="n"/>
      <c r="D248" s="17" t="n"/>
      <c r="E248" s="17" t="n"/>
      <c r="F248" s="16" t="n"/>
      <c r="G248" s="17" t="n"/>
      <c r="H248" s="17">
        <f>IF(A248="","",COUNTIF(Leads!$P$2:$P$501,A248))</f>
        <v/>
      </c>
      <c r="I248" s="17">
        <f>IF(A248="","",COUNTIFS(Leads!$P$2:$P$501,A248,Leads!$I$2:$I$501,"Won",Leads!$N$2:$N$501,"&gt;="&amp;Settings!$B$7))</f>
        <v/>
      </c>
      <c r="J248" s="18">
        <f>IF(A248="","",SUMIF(Leads!$P$2:$P$501,A248,Leads!$Q$2:$Q$501))</f>
        <v/>
      </c>
      <c r="K248" s="18">
        <f>IF(A248="","",SUMIF(Leads!$P$2:$P$501,A248,Leads!$R$2:$R$501))</f>
        <v/>
      </c>
      <c r="L248" s="18">
        <f>IF(A248="","",IF(I248&gt;=3,Settings!$B$6,0))</f>
        <v/>
      </c>
      <c r="M248" s="18">
        <f>IF(A248="","",J248+L248)</f>
        <v/>
      </c>
      <c r="N248" s="18" t="n"/>
      <c r="O248" s="18">
        <f>IF(A248="","",M248-N248)</f>
        <v/>
      </c>
      <c r="P248" s="17" t="n"/>
    </row>
    <row r="249">
      <c r="A249" s="17" t="n"/>
      <c r="B249" s="17" t="n"/>
      <c r="C249" s="17" t="n"/>
      <c r="D249" s="17" t="n"/>
      <c r="E249" s="17" t="n"/>
      <c r="F249" s="16" t="n"/>
      <c r="G249" s="17" t="n"/>
      <c r="H249" s="17">
        <f>IF(A249="","",COUNTIF(Leads!$P$2:$P$501,A249))</f>
        <v/>
      </c>
      <c r="I249" s="17">
        <f>IF(A249="","",COUNTIFS(Leads!$P$2:$P$501,A249,Leads!$I$2:$I$501,"Won",Leads!$N$2:$N$501,"&gt;="&amp;Settings!$B$7))</f>
        <v/>
      </c>
      <c r="J249" s="18">
        <f>IF(A249="","",SUMIF(Leads!$P$2:$P$501,A249,Leads!$Q$2:$Q$501))</f>
        <v/>
      </c>
      <c r="K249" s="18">
        <f>IF(A249="","",SUMIF(Leads!$P$2:$P$501,A249,Leads!$R$2:$R$501))</f>
        <v/>
      </c>
      <c r="L249" s="18">
        <f>IF(A249="","",IF(I249&gt;=3,Settings!$B$6,0))</f>
        <v/>
      </c>
      <c r="M249" s="18">
        <f>IF(A249="","",J249+L249)</f>
        <v/>
      </c>
      <c r="N249" s="18" t="n"/>
      <c r="O249" s="18">
        <f>IF(A249="","",M249-N249)</f>
        <v/>
      </c>
      <c r="P249" s="17" t="n"/>
    </row>
    <row r="250">
      <c r="A250" s="17" t="n"/>
      <c r="B250" s="17" t="n"/>
      <c r="C250" s="17" t="n"/>
      <c r="D250" s="17" t="n"/>
      <c r="E250" s="17" t="n"/>
      <c r="F250" s="16" t="n"/>
      <c r="G250" s="17" t="n"/>
      <c r="H250" s="17">
        <f>IF(A250="","",COUNTIF(Leads!$P$2:$P$501,A250))</f>
        <v/>
      </c>
      <c r="I250" s="17">
        <f>IF(A250="","",COUNTIFS(Leads!$P$2:$P$501,A250,Leads!$I$2:$I$501,"Won",Leads!$N$2:$N$501,"&gt;="&amp;Settings!$B$7))</f>
        <v/>
      </c>
      <c r="J250" s="18">
        <f>IF(A250="","",SUMIF(Leads!$P$2:$P$501,A250,Leads!$Q$2:$Q$501))</f>
        <v/>
      </c>
      <c r="K250" s="18">
        <f>IF(A250="","",SUMIF(Leads!$P$2:$P$501,A250,Leads!$R$2:$R$501))</f>
        <v/>
      </c>
      <c r="L250" s="18">
        <f>IF(A250="","",IF(I250&gt;=3,Settings!$B$6,0))</f>
        <v/>
      </c>
      <c r="M250" s="18">
        <f>IF(A250="","",J250+L250)</f>
        <v/>
      </c>
      <c r="N250" s="18" t="n"/>
      <c r="O250" s="18">
        <f>IF(A250="","",M250-N250)</f>
        <v/>
      </c>
      <c r="P250" s="17" t="n"/>
    </row>
    <row r="251">
      <c r="A251" s="17" t="n"/>
      <c r="B251" s="17" t="n"/>
      <c r="C251" s="17" t="n"/>
      <c r="D251" s="17" t="n"/>
      <c r="E251" s="17" t="n"/>
      <c r="F251" s="16" t="n"/>
      <c r="G251" s="17" t="n"/>
      <c r="H251" s="17">
        <f>IF(A251="","",COUNTIF(Leads!$P$2:$P$501,A251))</f>
        <v/>
      </c>
      <c r="I251" s="17">
        <f>IF(A251="","",COUNTIFS(Leads!$P$2:$P$501,A251,Leads!$I$2:$I$501,"Won",Leads!$N$2:$N$501,"&gt;="&amp;Settings!$B$7))</f>
        <v/>
      </c>
      <c r="J251" s="18">
        <f>IF(A251="","",SUMIF(Leads!$P$2:$P$501,A251,Leads!$Q$2:$Q$501))</f>
        <v/>
      </c>
      <c r="K251" s="18">
        <f>IF(A251="","",SUMIF(Leads!$P$2:$P$501,A251,Leads!$R$2:$R$501))</f>
        <v/>
      </c>
      <c r="L251" s="18">
        <f>IF(A251="","",IF(I251&gt;=3,Settings!$B$6,0))</f>
        <v/>
      </c>
      <c r="M251" s="18">
        <f>IF(A251="","",J251+L251)</f>
        <v/>
      </c>
      <c r="N251" s="18" t="n"/>
      <c r="O251" s="18">
        <f>IF(A251="","",M251-N251)</f>
        <v/>
      </c>
      <c r="P251" s="17" t="n"/>
    </row>
    <row r="252">
      <c r="A252" s="17" t="n"/>
      <c r="B252" s="17" t="n"/>
      <c r="C252" s="17" t="n"/>
      <c r="D252" s="17" t="n"/>
      <c r="E252" s="17" t="n"/>
      <c r="F252" s="16" t="n"/>
      <c r="G252" s="17" t="n"/>
      <c r="H252" s="17">
        <f>IF(A252="","",COUNTIF(Leads!$P$2:$P$501,A252))</f>
        <v/>
      </c>
      <c r="I252" s="17">
        <f>IF(A252="","",COUNTIFS(Leads!$P$2:$P$501,A252,Leads!$I$2:$I$501,"Won",Leads!$N$2:$N$501,"&gt;="&amp;Settings!$B$7))</f>
        <v/>
      </c>
      <c r="J252" s="18">
        <f>IF(A252="","",SUMIF(Leads!$P$2:$P$501,A252,Leads!$Q$2:$Q$501))</f>
        <v/>
      </c>
      <c r="K252" s="18">
        <f>IF(A252="","",SUMIF(Leads!$P$2:$P$501,A252,Leads!$R$2:$R$501))</f>
        <v/>
      </c>
      <c r="L252" s="18">
        <f>IF(A252="","",IF(I252&gt;=3,Settings!$B$6,0))</f>
        <v/>
      </c>
      <c r="M252" s="18">
        <f>IF(A252="","",J252+L252)</f>
        <v/>
      </c>
      <c r="N252" s="18" t="n"/>
      <c r="O252" s="18">
        <f>IF(A252="","",M252-N252)</f>
        <v/>
      </c>
      <c r="P252" s="17" t="n"/>
    </row>
    <row r="253">
      <c r="A253" s="17" t="n"/>
      <c r="B253" s="17" t="n"/>
      <c r="C253" s="17" t="n"/>
      <c r="D253" s="17" t="n"/>
      <c r="E253" s="17" t="n"/>
      <c r="F253" s="16" t="n"/>
      <c r="G253" s="17" t="n"/>
      <c r="H253" s="17">
        <f>IF(A253="","",COUNTIF(Leads!$P$2:$P$501,A253))</f>
        <v/>
      </c>
      <c r="I253" s="17">
        <f>IF(A253="","",COUNTIFS(Leads!$P$2:$P$501,A253,Leads!$I$2:$I$501,"Won",Leads!$N$2:$N$501,"&gt;="&amp;Settings!$B$7))</f>
        <v/>
      </c>
      <c r="J253" s="18">
        <f>IF(A253="","",SUMIF(Leads!$P$2:$P$501,A253,Leads!$Q$2:$Q$501))</f>
        <v/>
      </c>
      <c r="K253" s="18">
        <f>IF(A253="","",SUMIF(Leads!$P$2:$P$501,A253,Leads!$R$2:$R$501))</f>
        <v/>
      </c>
      <c r="L253" s="18">
        <f>IF(A253="","",IF(I253&gt;=3,Settings!$B$6,0))</f>
        <v/>
      </c>
      <c r="M253" s="18">
        <f>IF(A253="","",J253+L253)</f>
        <v/>
      </c>
      <c r="N253" s="18" t="n"/>
      <c r="O253" s="18">
        <f>IF(A253="","",M253-N253)</f>
        <v/>
      </c>
      <c r="P253" s="17" t="n"/>
    </row>
    <row r="254">
      <c r="A254" s="17" t="n"/>
      <c r="B254" s="17" t="n"/>
      <c r="C254" s="17" t="n"/>
      <c r="D254" s="17" t="n"/>
      <c r="E254" s="17" t="n"/>
      <c r="F254" s="16" t="n"/>
      <c r="G254" s="17" t="n"/>
      <c r="H254" s="17">
        <f>IF(A254="","",COUNTIF(Leads!$P$2:$P$501,A254))</f>
        <v/>
      </c>
      <c r="I254" s="17">
        <f>IF(A254="","",COUNTIFS(Leads!$P$2:$P$501,A254,Leads!$I$2:$I$501,"Won",Leads!$N$2:$N$501,"&gt;="&amp;Settings!$B$7))</f>
        <v/>
      </c>
      <c r="J254" s="18">
        <f>IF(A254="","",SUMIF(Leads!$P$2:$P$501,A254,Leads!$Q$2:$Q$501))</f>
        <v/>
      </c>
      <c r="K254" s="18">
        <f>IF(A254="","",SUMIF(Leads!$P$2:$P$501,A254,Leads!$R$2:$R$501))</f>
        <v/>
      </c>
      <c r="L254" s="18">
        <f>IF(A254="","",IF(I254&gt;=3,Settings!$B$6,0))</f>
        <v/>
      </c>
      <c r="M254" s="18">
        <f>IF(A254="","",J254+L254)</f>
        <v/>
      </c>
      <c r="N254" s="18" t="n"/>
      <c r="O254" s="18">
        <f>IF(A254="","",M254-N254)</f>
        <v/>
      </c>
      <c r="P254" s="17" t="n"/>
    </row>
    <row r="255">
      <c r="A255" s="17" t="n"/>
      <c r="B255" s="17" t="n"/>
      <c r="C255" s="17" t="n"/>
      <c r="D255" s="17" t="n"/>
      <c r="E255" s="17" t="n"/>
      <c r="F255" s="16" t="n"/>
      <c r="G255" s="17" t="n"/>
      <c r="H255" s="17">
        <f>IF(A255="","",COUNTIF(Leads!$P$2:$P$501,A255))</f>
        <v/>
      </c>
      <c r="I255" s="17">
        <f>IF(A255="","",COUNTIFS(Leads!$P$2:$P$501,A255,Leads!$I$2:$I$501,"Won",Leads!$N$2:$N$501,"&gt;="&amp;Settings!$B$7))</f>
        <v/>
      </c>
      <c r="J255" s="18">
        <f>IF(A255="","",SUMIF(Leads!$P$2:$P$501,A255,Leads!$Q$2:$Q$501))</f>
        <v/>
      </c>
      <c r="K255" s="18">
        <f>IF(A255="","",SUMIF(Leads!$P$2:$P$501,A255,Leads!$R$2:$R$501))</f>
        <v/>
      </c>
      <c r="L255" s="18">
        <f>IF(A255="","",IF(I255&gt;=3,Settings!$B$6,0))</f>
        <v/>
      </c>
      <c r="M255" s="18">
        <f>IF(A255="","",J255+L255)</f>
        <v/>
      </c>
      <c r="N255" s="18" t="n"/>
      <c r="O255" s="18">
        <f>IF(A255="","",M255-N255)</f>
        <v/>
      </c>
      <c r="P255" s="17" t="n"/>
    </row>
    <row r="256">
      <c r="A256" s="17" t="n"/>
      <c r="B256" s="17" t="n"/>
      <c r="C256" s="17" t="n"/>
      <c r="D256" s="17" t="n"/>
      <c r="E256" s="17" t="n"/>
      <c r="F256" s="16" t="n"/>
      <c r="G256" s="17" t="n"/>
      <c r="H256" s="17">
        <f>IF(A256="","",COUNTIF(Leads!$P$2:$P$501,A256))</f>
        <v/>
      </c>
      <c r="I256" s="17">
        <f>IF(A256="","",COUNTIFS(Leads!$P$2:$P$501,A256,Leads!$I$2:$I$501,"Won",Leads!$N$2:$N$501,"&gt;="&amp;Settings!$B$7))</f>
        <v/>
      </c>
      <c r="J256" s="18">
        <f>IF(A256="","",SUMIF(Leads!$P$2:$P$501,A256,Leads!$Q$2:$Q$501))</f>
        <v/>
      </c>
      <c r="K256" s="18">
        <f>IF(A256="","",SUMIF(Leads!$P$2:$P$501,A256,Leads!$R$2:$R$501))</f>
        <v/>
      </c>
      <c r="L256" s="18">
        <f>IF(A256="","",IF(I256&gt;=3,Settings!$B$6,0))</f>
        <v/>
      </c>
      <c r="M256" s="18">
        <f>IF(A256="","",J256+L256)</f>
        <v/>
      </c>
      <c r="N256" s="18" t="n"/>
      <c r="O256" s="18">
        <f>IF(A256="","",M256-N256)</f>
        <v/>
      </c>
      <c r="P256" s="17" t="n"/>
    </row>
    <row r="257">
      <c r="A257" s="17" t="n"/>
      <c r="B257" s="17" t="n"/>
      <c r="C257" s="17" t="n"/>
      <c r="D257" s="17" t="n"/>
      <c r="E257" s="17" t="n"/>
      <c r="F257" s="16" t="n"/>
      <c r="G257" s="17" t="n"/>
      <c r="H257" s="17">
        <f>IF(A257="","",COUNTIF(Leads!$P$2:$P$501,A257))</f>
        <v/>
      </c>
      <c r="I257" s="17">
        <f>IF(A257="","",COUNTIFS(Leads!$P$2:$P$501,A257,Leads!$I$2:$I$501,"Won",Leads!$N$2:$N$501,"&gt;="&amp;Settings!$B$7))</f>
        <v/>
      </c>
      <c r="J257" s="18">
        <f>IF(A257="","",SUMIF(Leads!$P$2:$P$501,A257,Leads!$Q$2:$Q$501))</f>
        <v/>
      </c>
      <c r="K257" s="18">
        <f>IF(A257="","",SUMIF(Leads!$P$2:$P$501,A257,Leads!$R$2:$R$501))</f>
        <v/>
      </c>
      <c r="L257" s="18">
        <f>IF(A257="","",IF(I257&gt;=3,Settings!$B$6,0))</f>
        <v/>
      </c>
      <c r="M257" s="18">
        <f>IF(A257="","",J257+L257)</f>
        <v/>
      </c>
      <c r="N257" s="18" t="n"/>
      <c r="O257" s="18">
        <f>IF(A257="","",M257-N257)</f>
        <v/>
      </c>
      <c r="P257" s="17" t="n"/>
    </row>
    <row r="258">
      <c r="A258" s="17" t="n"/>
      <c r="B258" s="17" t="n"/>
      <c r="C258" s="17" t="n"/>
      <c r="D258" s="17" t="n"/>
      <c r="E258" s="17" t="n"/>
      <c r="F258" s="16" t="n"/>
      <c r="G258" s="17" t="n"/>
      <c r="H258" s="17">
        <f>IF(A258="","",COUNTIF(Leads!$P$2:$P$501,A258))</f>
        <v/>
      </c>
      <c r="I258" s="17">
        <f>IF(A258="","",COUNTIFS(Leads!$P$2:$P$501,A258,Leads!$I$2:$I$501,"Won",Leads!$N$2:$N$501,"&gt;="&amp;Settings!$B$7))</f>
        <v/>
      </c>
      <c r="J258" s="18">
        <f>IF(A258="","",SUMIF(Leads!$P$2:$P$501,A258,Leads!$Q$2:$Q$501))</f>
        <v/>
      </c>
      <c r="K258" s="18">
        <f>IF(A258="","",SUMIF(Leads!$P$2:$P$501,A258,Leads!$R$2:$R$501))</f>
        <v/>
      </c>
      <c r="L258" s="18">
        <f>IF(A258="","",IF(I258&gt;=3,Settings!$B$6,0))</f>
        <v/>
      </c>
      <c r="M258" s="18">
        <f>IF(A258="","",J258+L258)</f>
        <v/>
      </c>
      <c r="N258" s="18" t="n"/>
      <c r="O258" s="18">
        <f>IF(A258="","",M258-N258)</f>
        <v/>
      </c>
      <c r="P258" s="17" t="n"/>
    </row>
    <row r="259">
      <c r="A259" s="17" t="n"/>
      <c r="B259" s="17" t="n"/>
      <c r="C259" s="17" t="n"/>
      <c r="D259" s="17" t="n"/>
      <c r="E259" s="17" t="n"/>
      <c r="F259" s="16" t="n"/>
      <c r="G259" s="17" t="n"/>
      <c r="H259" s="17">
        <f>IF(A259="","",COUNTIF(Leads!$P$2:$P$501,A259))</f>
        <v/>
      </c>
      <c r="I259" s="17">
        <f>IF(A259="","",COUNTIFS(Leads!$P$2:$P$501,A259,Leads!$I$2:$I$501,"Won",Leads!$N$2:$N$501,"&gt;="&amp;Settings!$B$7))</f>
        <v/>
      </c>
      <c r="J259" s="18">
        <f>IF(A259="","",SUMIF(Leads!$P$2:$P$501,A259,Leads!$Q$2:$Q$501))</f>
        <v/>
      </c>
      <c r="K259" s="18">
        <f>IF(A259="","",SUMIF(Leads!$P$2:$P$501,A259,Leads!$R$2:$R$501))</f>
        <v/>
      </c>
      <c r="L259" s="18">
        <f>IF(A259="","",IF(I259&gt;=3,Settings!$B$6,0))</f>
        <v/>
      </c>
      <c r="M259" s="18">
        <f>IF(A259="","",J259+L259)</f>
        <v/>
      </c>
      <c r="N259" s="18" t="n"/>
      <c r="O259" s="18">
        <f>IF(A259="","",M259-N259)</f>
        <v/>
      </c>
      <c r="P259" s="17" t="n"/>
    </row>
    <row r="260">
      <c r="A260" s="17" t="n"/>
      <c r="B260" s="17" t="n"/>
      <c r="C260" s="17" t="n"/>
      <c r="D260" s="17" t="n"/>
      <c r="E260" s="17" t="n"/>
      <c r="F260" s="16" t="n"/>
      <c r="G260" s="17" t="n"/>
      <c r="H260" s="17">
        <f>IF(A260="","",COUNTIF(Leads!$P$2:$P$501,A260))</f>
        <v/>
      </c>
      <c r="I260" s="17">
        <f>IF(A260="","",COUNTIFS(Leads!$P$2:$P$501,A260,Leads!$I$2:$I$501,"Won",Leads!$N$2:$N$501,"&gt;="&amp;Settings!$B$7))</f>
        <v/>
      </c>
      <c r="J260" s="18">
        <f>IF(A260="","",SUMIF(Leads!$P$2:$P$501,A260,Leads!$Q$2:$Q$501))</f>
        <v/>
      </c>
      <c r="K260" s="18">
        <f>IF(A260="","",SUMIF(Leads!$P$2:$P$501,A260,Leads!$R$2:$R$501))</f>
        <v/>
      </c>
      <c r="L260" s="18">
        <f>IF(A260="","",IF(I260&gt;=3,Settings!$B$6,0))</f>
        <v/>
      </c>
      <c r="M260" s="18">
        <f>IF(A260="","",J260+L260)</f>
        <v/>
      </c>
      <c r="N260" s="18" t="n"/>
      <c r="O260" s="18">
        <f>IF(A260="","",M260-N260)</f>
        <v/>
      </c>
      <c r="P260" s="17" t="n"/>
    </row>
    <row r="261">
      <c r="A261" s="17" t="n"/>
      <c r="B261" s="17" t="n"/>
      <c r="C261" s="17" t="n"/>
      <c r="D261" s="17" t="n"/>
      <c r="E261" s="17" t="n"/>
      <c r="F261" s="16" t="n"/>
      <c r="G261" s="17" t="n"/>
      <c r="H261" s="17">
        <f>IF(A261="","",COUNTIF(Leads!$P$2:$P$501,A261))</f>
        <v/>
      </c>
      <c r="I261" s="17">
        <f>IF(A261="","",COUNTIFS(Leads!$P$2:$P$501,A261,Leads!$I$2:$I$501,"Won",Leads!$N$2:$N$501,"&gt;="&amp;Settings!$B$7))</f>
        <v/>
      </c>
      <c r="J261" s="18">
        <f>IF(A261="","",SUMIF(Leads!$P$2:$P$501,A261,Leads!$Q$2:$Q$501))</f>
        <v/>
      </c>
      <c r="K261" s="18">
        <f>IF(A261="","",SUMIF(Leads!$P$2:$P$501,A261,Leads!$R$2:$R$501))</f>
        <v/>
      </c>
      <c r="L261" s="18">
        <f>IF(A261="","",IF(I261&gt;=3,Settings!$B$6,0))</f>
        <v/>
      </c>
      <c r="M261" s="18">
        <f>IF(A261="","",J261+L261)</f>
        <v/>
      </c>
      <c r="N261" s="18" t="n"/>
      <c r="O261" s="18">
        <f>IF(A261="","",M261-N261)</f>
        <v/>
      </c>
      <c r="P261" s="17" t="n"/>
    </row>
    <row r="262">
      <c r="A262" s="17" t="n"/>
      <c r="B262" s="17" t="n"/>
      <c r="C262" s="17" t="n"/>
      <c r="D262" s="17" t="n"/>
      <c r="E262" s="17" t="n"/>
      <c r="F262" s="16" t="n"/>
      <c r="G262" s="17" t="n"/>
      <c r="H262" s="17">
        <f>IF(A262="","",COUNTIF(Leads!$P$2:$P$501,A262))</f>
        <v/>
      </c>
      <c r="I262" s="17">
        <f>IF(A262="","",COUNTIFS(Leads!$P$2:$P$501,A262,Leads!$I$2:$I$501,"Won",Leads!$N$2:$N$501,"&gt;="&amp;Settings!$B$7))</f>
        <v/>
      </c>
      <c r="J262" s="18">
        <f>IF(A262="","",SUMIF(Leads!$P$2:$P$501,A262,Leads!$Q$2:$Q$501))</f>
        <v/>
      </c>
      <c r="K262" s="18">
        <f>IF(A262="","",SUMIF(Leads!$P$2:$P$501,A262,Leads!$R$2:$R$501))</f>
        <v/>
      </c>
      <c r="L262" s="18">
        <f>IF(A262="","",IF(I262&gt;=3,Settings!$B$6,0))</f>
        <v/>
      </c>
      <c r="M262" s="18">
        <f>IF(A262="","",J262+L262)</f>
        <v/>
      </c>
      <c r="N262" s="18" t="n"/>
      <c r="O262" s="18">
        <f>IF(A262="","",M262-N262)</f>
        <v/>
      </c>
      <c r="P262" s="17" t="n"/>
    </row>
    <row r="263">
      <c r="A263" s="17" t="n"/>
      <c r="B263" s="17" t="n"/>
      <c r="C263" s="17" t="n"/>
      <c r="D263" s="17" t="n"/>
      <c r="E263" s="17" t="n"/>
      <c r="F263" s="16" t="n"/>
      <c r="G263" s="17" t="n"/>
      <c r="H263" s="17">
        <f>IF(A263="","",COUNTIF(Leads!$P$2:$P$501,A263))</f>
        <v/>
      </c>
      <c r="I263" s="17">
        <f>IF(A263="","",COUNTIFS(Leads!$P$2:$P$501,A263,Leads!$I$2:$I$501,"Won",Leads!$N$2:$N$501,"&gt;="&amp;Settings!$B$7))</f>
        <v/>
      </c>
      <c r="J263" s="18">
        <f>IF(A263="","",SUMIF(Leads!$P$2:$P$501,A263,Leads!$Q$2:$Q$501))</f>
        <v/>
      </c>
      <c r="K263" s="18">
        <f>IF(A263="","",SUMIF(Leads!$P$2:$P$501,A263,Leads!$R$2:$R$501))</f>
        <v/>
      </c>
      <c r="L263" s="18">
        <f>IF(A263="","",IF(I263&gt;=3,Settings!$B$6,0))</f>
        <v/>
      </c>
      <c r="M263" s="18">
        <f>IF(A263="","",J263+L263)</f>
        <v/>
      </c>
      <c r="N263" s="18" t="n"/>
      <c r="O263" s="18">
        <f>IF(A263="","",M263-N263)</f>
        <v/>
      </c>
      <c r="P263" s="17" t="n"/>
    </row>
    <row r="264">
      <c r="A264" s="17" t="n"/>
      <c r="B264" s="17" t="n"/>
      <c r="C264" s="17" t="n"/>
      <c r="D264" s="17" t="n"/>
      <c r="E264" s="17" t="n"/>
      <c r="F264" s="16" t="n"/>
      <c r="G264" s="17" t="n"/>
      <c r="H264" s="17">
        <f>IF(A264="","",COUNTIF(Leads!$P$2:$P$501,A264))</f>
        <v/>
      </c>
      <c r="I264" s="17">
        <f>IF(A264="","",COUNTIFS(Leads!$P$2:$P$501,A264,Leads!$I$2:$I$501,"Won",Leads!$N$2:$N$501,"&gt;="&amp;Settings!$B$7))</f>
        <v/>
      </c>
      <c r="J264" s="18">
        <f>IF(A264="","",SUMIF(Leads!$P$2:$P$501,A264,Leads!$Q$2:$Q$501))</f>
        <v/>
      </c>
      <c r="K264" s="18">
        <f>IF(A264="","",SUMIF(Leads!$P$2:$P$501,A264,Leads!$R$2:$R$501))</f>
        <v/>
      </c>
      <c r="L264" s="18">
        <f>IF(A264="","",IF(I264&gt;=3,Settings!$B$6,0))</f>
        <v/>
      </c>
      <c r="M264" s="18">
        <f>IF(A264="","",J264+L264)</f>
        <v/>
      </c>
      <c r="N264" s="18" t="n"/>
      <c r="O264" s="18">
        <f>IF(A264="","",M264-N264)</f>
        <v/>
      </c>
      <c r="P264" s="17" t="n"/>
    </row>
    <row r="265">
      <c r="A265" s="17" t="n"/>
      <c r="B265" s="17" t="n"/>
      <c r="C265" s="17" t="n"/>
      <c r="D265" s="17" t="n"/>
      <c r="E265" s="17" t="n"/>
      <c r="F265" s="16" t="n"/>
      <c r="G265" s="17" t="n"/>
      <c r="H265" s="17">
        <f>IF(A265="","",COUNTIF(Leads!$P$2:$P$501,A265))</f>
        <v/>
      </c>
      <c r="I265" s="17">
        <f>IF(A265="","",COUNTIFS(Leads!$P$2:$P$501,A265,Leads!$I$2:$I$501,"Won",Leads!$N$2:$N$501,"&gt;="&amp;Settings!$B$7))</f>
        <v/>
      </c>
      <c r="J265" s="18">
        <f>IF(A265="","",SUMIF(Leads!$P$2:$P$501,A265,Leads!$Q$2:$Q$501))</f>
        <v/>
      </c>
      <c r="K265" s="18">
        <f>IF(A265="","",SUMIF(Leads!$P$2:$P$501,A265,Leads!$R$2:$R$501))</f>
        <v/>
      </c>
      <c r="L265" s="18">
        <f>IF(A265="","",IF(I265&gt;=3,Settings!$B$6,0))</f>
        <v/>
      </c>
      <c r="M265" s="18">
        <f>IF(A265="","",J265+L265)</f>
        <v/>
      </c>
      <c r="N265" s="18" t="n"/>
      <c r="O265" s="18">
        <f>IF(A265="","",M265-N265)</f>
        <v/>
      </c>
      <c r="P265" s="17" t="n"/>
    </row>
    <row r="266">
      <c r="A266" s="17" t="n"/>
      <c r="B266" s="17" t="n"/>
      <c r="C266" s="17" t="n"/>
      <c r="D266" s="17" t="n"/>
      <c r="E266" s="17" t="n"/>
      <c r="F266" s="16" t="n"/>
      <c r="G266" s="17" t="n"/>
      <c r="H266" s="17">
        <f>IF(A266="","",COUNTIF(Leads!$P$2:$P$501,A266))</f>
        <v/>
      </c>
      <c r="I266" s="17">
        <f>IF(A266="","",COUNTIFS(Leads!$P$2:$P$501,A266,Leads!$I$2:$I$501,"Won",Leads!$N$2:$N$501,"&gt;="&amp;Settings!$B$7))</f>
        <v/>
      </c>
      <c r="J266" s="18">
        <f>IF(A266="","",SUMIF(Leads!$P$2:$P$501,A266,Leads!$Q$2:$Q$501))</f>
        <v/>
      </c>
      <c r="K266" s="18">
        <f>IF(A266="","",SUMIF(Leads!$P$2:$P$501,A266,Leads!$R$2:$R$501))</f>
        <v/>
      </c>
      <c r="L266" s="18">
        <f>IF(A266="","",IF(I266&gt;=3,Settings!$B$6,0))</f>
        <v/>
      </c>
      <c r="M266" s="18">
        <f>IF(A266="","",J266+L266)</f>
        <v/>
      </c>
      <c r="N266" s="18" t="n"/>
      <c r="O266" s="18">
        <f>IF(A266="","",M266-N266)</f>
        <v/>
      </c>
      <c r="P266" s="17" t="n"/>
    </row>
    <row r="267">
      <c r="A267" s="17" t="n"/>
      <c r="B267" s="17" t="n"/>
      <c r="C267" s="17" t="n"/>
      <c r="D267" s="17" t="n"/>
      <c r="E267" s="17" t="n"/>
      <c r="F267" s="16" t="n"/>
      <c r="G267" s="17" t="n"/>
      <c r="H267" s="17">
        <f>IF(A267="","",COUNTIF(Leads!$P$2:$P$501,A267))</f>
        <v/>
      </c>
      <c r="I267" s="17">
        <f>IF(A267="","",COUNTIFS(Leads!$P$2:$P$501,A267,Leads!$I$2:$I$501,"Won",Leads!$N$2:$N$501,"&gt;="&amp;Settings!$B$7))</f>
        <v/>
      </c>
      <c r="J267" s="18">
        <f>IF(A267="","",SUMIF(Leads!$P$2:$P$501,A267,Leads!$Q$2:$Q$501))</f>
        <v/>
      </c>
      <c r="K267" s="18">
        <f>IF(A267="","",SUMIF(Leads!$P$2:$P$501,A267,Leads!$R$2:$R$501))</f>
        <v/>
      </c>
      <c r="L267" s="18">
        <f>IF(A267="","",IF(I267&gt;=3,Settings!$B$6,0))</f>
        <v/>
      </c>
      <c r="M267" s="18">
        <f>IF(A267="","",J267+L267)</f>
        <v/>
      </c>
      <c r="N267" s="18" t="n"/>
      <c r="O267" s="18">
        <f>IF(A267="","",M267-N267)</f>
        <v/>
      </c>
      <c r="P267" s="17" t="n"/>
    </row>
    <row r="268">
      <c r="A268" s="17" t="n"/>
      <c r="B268" s="17" t="n"/>
      <c r="C268" s="17" t="n"/>
      <c r="D268" s="17" t="n"/>
      <c r="E268" s="17" t="n"/>
      <c r="F268" s="16" t="n"/>
      <c r="G268" s="17" t="n"/>
      <c r="H268" s="17">
        <f>IF(A268="","",COUNTIF(Leads!$P$2:$P$501,A268))</f>
        <v/>
      </c>
      <c r="I268" s="17">
        <f>IF(A268="","",COUNTIFS(Leads!$P$2:$P$501,A268,Leads!$I$2:$I$501,"Won",Leads!$N$2:$N$501,"&gt;="&amp;Settings!$B$7))</f>
        <v/>
      </c>
      <c r="J268" s="18">
        <f>IF(A268="","",SUMIF(Leads!$P$2:$P$501,A268,Leads!$Q$2:$Q$501))</f>
        <v/>
      </c>
      <c r="K268" s="18">
        <f>IF(A268="","",SUMIF(Leads!$P$2:$P$501,A268,Leads!$R$2:$R$501))</f>
        <v/>
      </c>
      <c r="L268" s="18">
        <f>IF(A268="","",IF(I268&gt;=3,Settings!$B$6,0))</f>
        <v/>
      </c>
      <c r="M268" s="18">
        <f>IF(A268="","",J268+L268)</f>
        <v/>
      </c>
      <c r="N268" s="18" t="n"/>
      <c r="O268" s="18">
        <f>IF(A268="","",M268-N268)</f>
        <v/>
      </c>
      <c r="P268" s="17" t="n"/>
    </row>
    <row r="269">
      <c r="A269" s="17" t="n"/>
      <c r="B269" s="17" t="n"/>
      <c r="C269" s="17" t="n"/>
      <c r="D269" s="17" t="n"/>
      <c r="E269" s="17" t="n"/>
      <c r="F269" s="16" t="n"/>
      <c r="G269" s="17" t="n"/>
      <c r="H269" s="17">
        <f>IF(A269="","",COUNTIF(Leads!$P$2:$P$501,A269))</f>
        <v/>
      </c>
      <c r="I269" s="17">
        <f>IF(A269="","",COUNTIFS(Leads!$P$2:$P$501,A269,Leads!$I$2:$I$501,"Won",Leads!$N$2:$N$501,"&gt;="&amp;Settings!$B$7))</f>
        <v/>
      </c>
      <c r="J269" s="18">
        <f>IF(A269="","",SUMIF(Leads!$P$2:$P$501,A269,Leads!$Q$2:$Q$501))</f>
        <v/>
      </c>
      <c r="K269" s="18">
        <f>IF(A269="","",SUMIF(Leads!$P$2:$P$501,A269,Leads!$R$2:$R$501))</f>
        <v/>
      </c>
      <c r="L269" s="18">
        <f>IF(A269="","",IF(I269&gt;=3,Settings!$B$6,0))</f>
        <v/>
      </c>
      <c r="M269" s="18">
        <f>IF(A269="","",J269+L269)</f>
        <v/>
      </c>
      <c r="N269" s="18" t="n"/>
      <c r="O269" s="18">
        <f>IF(A269="","",M269-N269)</f>
        <v/>
      </c>
      <c r="P269" s="17" t="n"/>
    </row>
    <row r="270">
      <c r="A270" s="17" t="n"/>
      <c r="B270" s="17" t="n"/>
      <c r="C270" s="17" t="n"/>
      <c r="D270" s="17" t="n"/>
      <c r="E270" s="17" t="n"/>
      <c r="F270" s="16" t="n"/>
      <c r="G270" s="17" t="n"/>
      <c r="H270" s="17">
        <f>IF(A270="","",COUNTIF(Leads!$P$2:$P$501,A270))</f>
        <v/>
      </c>
      <c r="I270" s="17">
        <f>IF(A270="","",COUNTIFS(Leads!$P$2:$P$501,A270,Leads!$I$2:$I$501,"Won",Leads!$N$2:$N$501,"&gt;="&amp;Settings!$B$7))</f>
        <v/>
      </c>
      <c r="J270" s="18">
        <f>IF(A270="","",SUMIF(Leads!$P$2:$P$501,A270,Leads!$Q$2:$Q$501))</f>
        <v/>
      </c>
      <c r="K270" s="18">
        <f>IF(A270="","",SUMIF(Leads!$P$2:$P$501,A270,Leads!$R$2:$R$501))</f>
        <v/>
      </c>
      <c r="L270" s="18">
        <f>IF(A270="","",IF(I270&gt;=3,Settings!$B$6,0))</f>
        <v/>
      </c>
      <c r="M270" s="18">
        <f>IF(A270="","",J270+L270)</f>
        <v/>
      </c>
      <c r="N270" s="18" t="n"/>
      <c r="O270" s="18">
        <f>IF(A270="","",M270-N270)</f>
        <v/>
      </c>
      <c r="P270" s="17" t="n"/>
    </row>
    <row r="271">
      <c r="A271" s="17" t="n"/>
      <c r="B271" s="17" t="n"/>
      <c r="C271" s="17" t="n"/>
      <c r="D271" s="17" t="n"/>
      <c r="E271" s="17" t="n"/>
      <c r="F271" s="16" t="n"/>
      <c r="G271" s="17" t="n"/>
      <c r="H271" s="17">
        <f>IF(A271="","",COUNTIF(Leads!$P$2:$P$501,A271))</f>
        <v/>
      </c>
      <c r="I271" s="17">
        <f>IF(A271="","",COUNTIFS(Leads!$P$2:$P$501,A271,Leads!$I$2:$I$501,"Won",Leads!$N$2:$N$501,"&gt;="&amp;Settings!$B$7))</f>
        <v/>
      </c>
      <c r="J271" s="18">
        <f>IF(A271="","",SUMIF(Leads!$P$2:$P$501,A271,Leads!$Q$2:$Q$501))</f>
        <v/>
      </c>
      <c r="K271" s="18">
        <f>IF(A271="","",SUMIF(Leads!$P$2:$P$501,A271,Leads!$R$2:$R$501))</f>
        <v/>
      </c>
      <c r="L271" s="18">
        <f>IF(A271="","",IF(I271&gt;=3,Settings!$B$6,0))</f>
        <v/>
      </c>
      <c r="M271" s="18">
        <f>IF(A271="","",J271+L271)</f>
        <v/>
      </c>
      <c r="N271" s="18" t="n"/>
      <c r="O271" s="18">
        <f>IF(A271="","",M271-N271)</f>
        <v/>
      </c>
      <c r="P271" s="17" t="n"/>
    </row>
    <row r="272">
      <c r="A272" s="17" t="n"/>
      <c r="B272" s="17" t="n"/>
      <c r="C272" s="17" t="n"/>
      <c r="D272" s="17" t="n"/>
      <c r="E272" s="17" t="n"/>
      <c r="F272" s="16" t="n"/>
      <c r="G272" s="17" t="n"/>
      <c r="H272" s="17">
        <f>IF(A272="","",COUNTIF(Leads!$P$2:$P$501,A272))</f>
        <v/>
      </c>
      <c r="I272" s="17">
        <f>IF(A272="","",COUNTIFS(Leads!$P$2:$P$501,A272,Leads!$I$2:$I$501,"Won",Leads!$N$2:$N$501,"&gt;="&amp;Settings!$B$7))</f>
        <v/>
      </c>
      <c r="J272" s="18">
        <f>IF(A272="","",SUMIF(Leads!$P$2:$P$501,A272,Leads!$Q$2:$Q$501))</f>
        <v/>
      </c>
      <c r="K272" s="18">
        <f>IF(A272="","",SUMIF(Leads!$P$2:$P$501,A272,Leads!$R$2:$R$501))</f>
        <v/>
      </c>
      <c r="L272" s="18">
        <f>IF(A272="","",IF(I272&gt;=3,Settings!$B$6,0))</f>
        <v/>
      </c>
      <c r="M272" s="18">
        <f>IF(A272="","",J272+L272)</f>
        <v/>
      </c>
      <c r="N272" s="18" t="n"/>
      <c r="O272" s="18">
        <f>IF(A272="","",M272-N272)</f>
        <v/>
      </c>
      <c r="P272" s="17" t="n"/>
    </row>
    <row r="273">
      <c r="A273" s="17" t="n"/>
      <c r="B273" s="17" t="n"/>
      <c r="C273" s="17" t="n"/>
      <c r="D273" s="17" t="n"/>
      <c r="E273" s="17" t="n"/>
      <c r="F273" s="16" t="n"/>
      <c r="G273" s="17" t="n"/>
      <c r="H273" s="17">
        <f>IF(A273="","",COUNTIF(Leads!$P$2:$P$501,A273))</f>
        <v/>
      </c>
      <c r="I273" s="17">
        <f>IF(A273="","",COUNTIFS(Leads!$P$2:$P$501,A273,Leads!$I$2:$I$501,"Won",Leads!$N$2:$N$501,"&gt;="&amp;Settings!$B$7))</f>
        <v/>
      </c>
      <c r="J273" s="18">
        <f>IF(A273="","",SUMIF(Leads!$P$2:$P$501,A273,Leads!$Q$2:$Q$501))</f>
        <v/>
      </c>
      <c r="K273" s="18">
        <f>IF(A273="","",SUMIF(Leads!$P$2:$P$501,A273,Leads!$R$2:$R$501))</f>
        <v/>
      </c>
      <c r="L273" s="18">
        <f>IF(A273="","",IF(I273&gt;=3,Settings!$B$6,0))</f>
        <v/>
      </c>
      <c r="M273" s="18">
        <f>IF(A273="","",J273+L273)</f>
        <v/>
      </c>
      <c r="N273" s="18" t="n"/>
      <c r="O273" s="18">
        <f>IF(A273="","",M273-N273)</f>
        <v/>
      </c>
      <c r="P273" s="17" t="n"/>
    </row>
    <row r="274">
      <c r="A274" s="17" t="n"/>
      <c r="B274" s="17" t="n"/>
      <c r="C274" s="17" t="n"/>
      <c r="D274" s="17" t="n"/>
      <c r="E274" s="17" t="n"/>
      <c r="F274" s="16" t="n"/>
      <c r="G274" s="17" t="n"/>
      <c r="H274" s="17">
        <f>IF(A274="","",COUNTIF(Leads!$P$2:$P$501,A274))</f>
        <v/>
      </c>
      <c r="I274" s="17">
        <f>IF(A274="","",COUNTIFS(Leads!$P$2:$P$501,A274,Leads!$I$2:$I$501,"Won",Leads!$N$2:$N$501,"&gt;="&amp;Settings!$B$7))</f>
        <v/>
      </c>
      <c r="J274" s="18">
        <f>IF(A274="","",SUMIF(Leads!$P$2:$P$501,A274,Leads!$Q$2:$Q$501))</f>
        <v/>
      </c>
      <c r="K274" s="18">
        <f>IF(A274="","",SUMIF(Leads!$P$2:$P$501,A274,Leads!$R$2:$R$501))</f>
        <v/>
      </c>
      <c r="L274" s="18">
        <f>IF(A274="","",IF(I274&gt;=3,Settings!$B$6,0))</f>
        <v/>
      </c>
      <c r="M274" s="18">
        <f>IF(A274="","",J274+L274)</f>
        <v/>
      </c>
      <c r="N274" s="18" t="n"/>
      <c r="O274" s="18">
        <f>IF(A274="","",M274-N274)</f>
        <v/>
      </c>
      <c r="P274" s="17" t="n"/>
    </row>
    <row r="275">
      <c r="A275" s="17" t="n"/>
      <c r="B275" s="17" t="n"/>
      <c r="C275" s="17" t="n"/>
      <c r="D275" s="17" t="n"/>
      <c r="E275" s="17" t="n"/>
      <c r="F275" s="16" t="n"/>
      <c r="G275" s="17" t="n"/>
      <c r="H275" s="17">
        <f>IF(A275="","",COUNTIF(Leads!$P$2:$P$501,A275))</f>
        <v/>
      </c>
      <c r="I275" s="17">
        <f>IF(A275="","",COUNTIFS(Leads!$P$2:$P$501,A275,Leads!$I$2:$I$501,"Won",Leads!$N$2:$N$501,"&gt;="&amp;Settings!$B$7))</f>
        <v/>
      </c>
      <c r="J275" s="18">
        <f>IF(A275="","",SUMIF(Leads!$P$2:$P$501,A275,Leads!$Q$2:$Q$501))</f>
        <v/>
      </c>
      <c r="K275" s="18">
        <f>IF(A275="","",SUMIF(Leads!$P$2:$P$501,A275,Leads!$R$2:$R$501))</f>
        <v/>
      </c>
      <c r="L275" s="18">
        <f>IF(A275="","",IF(I275&gt;=3,Settings!$B$6,0))</f>
        <v/>
      </c>
      <c r="M275" s="18">
        <f>IF(A275="","",J275+L275)</f>
        <v/>
      </c>
      <c r="N275" s="18" t="n"/>
      <c r="O275" s="18">
        <f>IF(A275="","",M275-N275)</f>
        <v/>
      </c>
      <c r="P275" s="17" t="n"/>
    </row>
    <row r="276">
      <c r="A276" s="17" t="n"/>
      <c r="B276" s="17" t="n"/>
      <c r="C276" s="17" t="n"/>
      <c r="D276" s="17" t="n"/>
      <c r="E276" s="17" t="n"/>
      <c r="F276" s="16" t="n"/>
      <c r="G276" s="17" t="n"/>
      <c r="H276" s="17">
        <f>IF(A276="","",COUNTIF(Leads!$P$2:$P$501,A276))</f>
        <v/>
      </c>
      <c r="I276" s="17">
        <f>IF(A276="","",COUNTIFS(Leads!$P$2:$P$501,A276,Leads!$I$2:$I$501,"Won",Leads!$N$2:$N$501,"&gt;="&amp;Settings!$B$7))</f>
        <v/>
      </c>
      <c r="J276" s="18">
        <f>IF(A276="","",SUMIF(Leads!$P$2:$P$501,A276,Leads!$Q$2:$Q$501))</f>
        <v/>
      </c>
      <c r="K276" s="18">
        <f>IF(A276="","",SUMIF(Leads!$P$2:$P$501,A276,Leads!$R$2:$R$501))</f>
        <v/>
      </c>
      <c r="L276" s="18">
        <f>IF(A276="","",IF(I276&gt;=3,Settings!$B$6,0))</f>
        <v/>
      </c>
      <c r="M276" s="18">
        <f>IF(A276="","",J276+L276)</f>
        <v/>
      </c>
      <c r="N276" s="18" t="n"/>
      <c r="O276" s="18">
        <f>IF(A276="","",M276-N276)</f>
        <v/>
      </c>
      <c r="P276" s="17" t="n"/>
    </row>
    <row r="277">
      <c r="A277" s="17" t="n"/>
      <c r="B277" s="17" t="n"/>
      <c r="C277" s="17" t="n"/>
      <c r="D277" s="17" t="n"/>
      <c r="E277" s="17" t="n"/>
      <c r="F277" s="16" t="n"/>
      <c r="G277" s="17" t="n"/>
      <c r="H277" s="17">
        <f>IF(A277="","",COUNTIF(Leads!$P$2:$P$501,A277))</f>
        <v/>
      </c>
      <c r="I277" s="17">
        <f>IF(A277="","",COUNTIFS(Leads!$P$2:$P$501,A277,Leads!$I$2:$I$501,"Won",Leads!$N$2:$N$501,"&gt;="&amp;Settings!$B$7))</f>
        <v/>
      </c>
      <c r="J277" s="18">
        <f>IF(A277="","",SUMIF(Leads!$P$2:$P$501,A277,Leads!$Q$2:$Q$501))</f>
        <v/>
      </c>
      <c r="K277" s="18">
        <f>IF(A277="","",SUMIF(Leads!$P$2:$P$501,A277,Leads!$R$2:$R$501))</f>
        <v/>
      </c>
      <c r="L277" s="18">
        <f>IF(A277="","",IF(I277&gt;=3,Settings!$B$6,0))</f>
        <v/>
      </c>
      <c r="M277" s="18">
        <f>IF(A277="","",J277+L277)</f>
        <v/>
      </c>
      <c r="N277" s="18" t="n"/>
      <c r="O277" s="18">
        <f>IF(A277="","",M277-N277)</f>
        <v/>
      </c>
      <c r="P277" s="17" t="n"/>
    </row>
    <row r="278">
      <c r="A278" s="17" t="n"/>
      <c r="B278" s="17" t="n"/>
      <c r="C278" s="17" t="n"/>
      <c r="D278" s="17" t="n"/>
      <c r="E278" s="17" t="n"/>
      <c r="F278" s="16" t="n"/>
      <c r="G278" s="17" t="n"/>
      <c r="H278" s="17">
        <f>IF(A278="","",COUNTIF(Leads!$P$2:$P$501,A278))</f>
        <v/>
      </c>
      <c r="I278" s="17">
        <f>IF(A278="","",COUNTIFS(Leads!$P$2:$P$501,A278,Leads!$I$2:$I$501,"Won",Leads!$N$2:$N$501,"&gt;="&amp;Settings!$B$7))</f>
        <v/>
      </c>
      <c r="J278" s="18">
        <f>IF(A278="","",SUMIF(Leads!$P$2:$P$501,A278,Leads!$Q$2:$Q$501))</f>
        <v/>
      </c>
      <c r="K278" s="18">
        <f>IF(A278="","",SUMIF(Leads!$P$2:$P$501,A278,Leads!$R$2:$R$501))</f>
        <v/>
      </c>
      <c r="L278" s="18">
        <f>IF(A278="","",IF(I278&gt;=3,Settings!$B$6,0))</f>
        <v/>
      </c>
      <c r="M278" s="18">
        <f>IF(A278="","",J278+L278)</f>
        <v/>
      </c>
      <c r="N278" s="18" t="n"/>
      <c r="O278" s="18">
        <f>IF(A278="","",M278-N278)</f>
        <v/>
      </c>
      <c r="P278" s="17" t="n"/>
    </row>
    <row r="279">
      <c r="A279" s="17" t="n"/>
      <c r="B279" s="17" t="n"/>
      <c r="C279" s="17" t="n"/>
      <c r="D279" s="17" t="n"/>
      <c r="E279" s="17" t="n"/>
      <c r="F279" s="16" t="n"/>
      <c r="G279" s="17" t="n"/>
      <c r="H279" s="17">
        <f>IF(A279="","",COUNTIF(Leads!$P$2:$P$501,A279))</f>
        <v/>
      </c>
      <c r="I279" s="17">
        <f>IF(A279="","",COUNTIFS(Leads!$P$2:$P$501,A279,Leads!$I$2:$I$501,"Won",Leads!$N$2:$N$501,"&gt;="&amp;Settings!$B$7))</f>
        <v/>
      </c>
      <c r="J279" s="18">
        <f>IF(A279="","",SUMIF(Leads!$P$2:$P$501,A279,Leads!$Q$2:$Q$501))</f>
        <v/>
      </c>
      <c r="K279" s="18">
        <f>IF(A279="","",SUMIF(Leads!$P$2:$P$501,A279,Leads!$R$2:$R$501))</f>
        <v/>
      </c>
      <c r="L279" s="18">
        <f>IF(A279="","",IF(I279&gt;=3,Settings!$B$6,0))</f>
        <v/>
      </c>
      <c r="M279" s="18">
        <f>IF(A279="","",J279+L279)</f>
        <v/>
      </c>
      <c r="N279" s="18" t="n"/>
      <c r="O279" s="18">
        <f>IF(A279="","",M279-N279)</f>
        <v/>
      </c>
      <c r="P279" s="17" t="n"/>
    </row>
    <row r="280">
      <c r="A280" s="17" t="n"/>
      <c r="B280" s="17" t="n"/>
      <c r="C280" s="17" t="n"/>
      <c r="D280" s="17" t="n"/>
      <c r="E280" s="17" t="n"/>
      <c r="F280" s="16" t="n"/>
      <c r="G280" s="17" t="n"/>
      <c r="H280" s="17">
        <f>IF(A280="","",COUNTIF(Leads!$P$2:$P$501,A280))</f>
        <v/>
      </c>
      <c r="I280" s="17">
        <f>IF(A280="","",COUNTIFS(Leads!$P$2:$P$501,A280,Leads!$I$2:$I$501,"Won",Leads!$N$2:$N$501,"&gt;="&amp;Settings!$B$7))</f>
        <v/>
      </c>
      <c r="J280" s="18">
        <f>IF(A280="","",SUMIF(Leads!$P$2:$P$501,A280,Leads!$Q$2:$Q$501))</f>
        <v/>
      </c>
      <c r="K280" s="18">
        <f>IF(A280="","",SUMIF(Leads!$P$2:$P$501,A280,Leads!$R$2:$R$501))</f>
        <v/>
      </c>
      <c r="L280" s="18">
        <f>IF(A280="","",IF(I280&gt;=3,Settings!$B$6,0))</f>
        <v/>
      </c>
      <c r="M280" s="18">
        <f>IF(A280="","",J280+L280)</f>
        <v/>
      </c>
      <c r="N280" s="18" t="n"/>
      <c r="O280" s="18">
        <f>IF(A280="","",M280-N280)</f>
        <v/>
      </c>
      <c r="P280" s="17" t="n"/>
    </row>
    <row r="281">
      <c r="A281" s="17" t="n"/>
      <c r="B281" s="17" t="n"/>
      <c r="C281" s="17" t="n"/>
      <c r="D281" s="17" t="n"/>
      <c r="E281" s="17" t="n"/>
      <c r="F281" s="16" t="n"/>
      <c r="G281" s="17" t="n"/>
      <c r="H281" s="17">
        <f>IF(A281="","",COUNTIF(Leads!$P$2:$P$501,A281))</f>
        <v/>
      </c>
      <c r="I281" s="17">
        <f>IF(A281="","",COUNTIFS(Leads!$P$2:$P$501,A281,Leads!$I$2:$I$501,"Won",Leads!$N$2:$N$501,"&gt;="&amp;Settings!$B$7))</f>
        <v/>
      </c>
      <c r="J281" s="18">
        <f>IF(A281="","",SUMIF(Leads!$P$2:$P$501,A281,Leads!$Q$2:$Q$501))</f>
        <v/>
      </c>
      <c r="K281" s="18">
        <f>IF(A281="","",SUMIF(Leads!$P$2:$P$501,A281,Leads!$R$2:$R$501))</f>
        <v/>
      </c>
      <c r="L281" s="18">
        <f>IF(A281="","",IF(I281&gt;=3,Settings!$B$6,0))</f>
        <v/>
      </c>
      <c r="M281" s="18">
        <f>IF(A281="","",J281+L281)</f>
        <v/>
      </c>
      <c r="N281" s="18" t="n"/>
      <c r="O281" s="18">
        <f>IF(A281="","",M281-N281)</f>
        <v/>
      </c>
      <c r="P281" s="17" t="n"/>
    </row>
    <row r="282">
      <c r="A282" s="17" t="n"/>
      <c r="B282" s="17" t="n"/>
      <c r="C282" s="17" t="n"/>
      <c r="D282" s="17" t="n"/>
      <c r="E282" s="17" t="n"/>
      <c r="F282" s="16" t="n"/>
      <c r="G282" s="17" t="n"/>
      <c r="H282" s="17">
        <f>IF(A282="","",COUNTIF(Leads!$P$2:$P$501,A282))</f>
        <v/>
      </c>
      <c r="I282" s="17">
        <f>IF(A282="","",COUNTIFS(Leads!$P$2:$P$501,A282,Leads!$I$2:$I$501,"Won",Leads!$N$2:$N$501,"&gt;="&amp;Settings!$B$7))</f>
        <v/>
      </c>
      <c r="J282" s="18">
        <f>IF(A282="","",SUMIF(Leads!$P$2:$P$501,A282,Leads!$Q$2:$Q$501))</f>
        <v/>
      </c>
      <c r="K282" s="18">
        <f>IF(A282="","",SUMIF(Leads!$P$2:$P$501,A282,Leads!$R$2:$R$501))</f>
        <v/>
      </c>
      <c r="L282" s="18">
        <f>IF(A282="","",IF(I282&gt;=3,Settings!$B$6,0))</f>
        <v/>
      </c>
      <c r="M282" s="18">
        <f>IF(A282="","",J282+L282)</f>
        <v/>
      </c>
      <c r="N282" s="18" t="n"/>
      <c r="O282" s="18">
        <f>IF(A282="","",M282-N282)</f>
        <v/>
      </c>
      <c r="P282" s="17" t="n"/>
    </row>
    <row r="283">
      <c r="A283" s="17" t="n"/>
      <c r="B283" s="17" t="n"/>
      <c r="C283" s="17" t="n"/>
      <c r="D283" s="17" t="n"/>
      <c r="E283" s="17" t="n"/>
      <c r="F283" s="16" t="n"/>
      <c r="G283" s="17" t="n"/>
      <c r="H283" s="17">
        <f>IF(A283="","",COUNTIF(Leads!$P$2:$P$501,A283))</f>
        <v/>
      </c>
      <c r="I283" s="17">
        <f>IF(A283="","",COUNTIFS(Leads!$P$2:$P$501,A283,Leads!$I$2:$I$501,"Won",Leads!$N$2:$N$501,"&gt;="&amp;Settings!$B$7))</f>
        <v/>
      </c>
      <c r="J283" s="18">
        <f>IF(A283="","",SUMIF(Leads!$P$2:$P$501,A283,Leads!$Q$2:$Q$501))</f>
        <v/>
      </c>
      <c r="K283" s="18">
        <f>IF(A283="","",SUMIF(Leads!$P$2:$P$501,A283,Leads!$R$2:$R$501))</f>
        <v/>
      </c>
      <c r="L283" s="18">
        <f>IF(A283="","",IF(I283&gt;=3,Settings!$B$6,0))</f>
        <v/>
      </c>
      <c r="M283" s="18">
        <f>IF(A283="","",J283+L283)</f>
        <v/>
      </c>
      <c r="N283" s="18" t="n"/>
      <c r="O283" s="18">
        <f>IF(A283="","",M283-N283)</f>
        <v/>
      </c>
      <c r="P283" s="17" t="n"/>
    </row>
    <row r="284">
      <c r="A284" s="17" t="n"/>
      <c r="B284" s="17" t="n"/>
      <c r="C284" s="17" t="n"/>
      <c r="D284" s="17" t="n"/>
      <c r="E284" s="17" t="n"/>
      <c r="F284" s="16" t="n"/>
      <c r="G284" s="17" t="n"/>
      <c r="H284" s="17">
        <f>IF(A284="","",COUNTIF(Leads!$P$2:$P$501,A284))</f>
        <v/>
      </c>
      <c r="I284" s="17">
        <f>IF(A284="","",COUNTIFS(Leads!$P$2:$P$501,A284,Leads!$I$2:$I$501,"Won",Leads!$N$2:$N$501,"&gt;="&amp;Settings!$B$7))</f>
        <v/>
      </c>
      <c r="J284" s="18">
        <f>IF(A284="","",SUMIF(Leads!$P$2:$P$501,A284,Leads!$Q$2:$Q$501))</f>
        <v/>
      </c>
      <c r="K284" s="18">
        <f>IF(A284="","",SUMIF(Leads!$P$2:$P$501,A284,Leads!$R$2:$R$501))</f>
        <v/>
      </c>
      <c r="L284" s="18">
        <f>IF(A284="","",IF(I284&gt;=3,Settings!$B$6,0))</f>
        <v/>
      </c>
      <c r="M284" s="18">
        <f>IF(A284="","",J284+L284)</f>
        <v/>
      </c>
      <c r="N284" s="18" t="n"/>
      <c r="O284" s="18">
        <f>IF(A284="","",M284-N284)</f>
        <v/>
      </c>
      <c r="P284" s="17" t="n"/>
    </row>
    <row r="285">
      <c r="A285" s="17" t="n"/>
      <c r="B285" s="17" t="n"/>
      <c r="C285" s="17" t="n"/>
      <c r="D285" s="17" t="n"/>
      <c r="E285" s="17" t="n"/>
      <c r="F285" s="16" t="n"/>
      <c r="G285" s="17" t="n"/>
      <c r="H285" s="17">
        <f>IF(A285="","",COUNTIF(Leads!$P$2:$P$501,A285))</f>
        <v/>
      </c>
      <c r="I285" s="17">
        <f>IF(A285="","",COUNTIFS(Leads!$P$2:$P$501,A285,Leads!$I$2:$I$501,"Won",Leads!$N$2:$N$501,"&gt;="&amp;Settings!$B$7))</f>
        <v/>
      </c>
      <c r="J285" s="18">
        <f>IF(A285="","",SUMIF(Leads!$P$2:$P$501,A285,Leads!$Q$2:$Q$501))</f>
        <v/>
      </c>
      <c r="K285" s="18">
        <f>IF(A285="","",SUMIF(Leads!$P$2:$P$501,A285,Leads!$R$2:$R$501))</f>
        <v/>
      </c>
      <c r="L285" s="18">
        <f>IF(A285="","",IF(I285&gt;=3,Settings!$B$6,0))</f>
        <v/>
      </c>
      <c r="M285" s="18">
        <f>IF(A285="","",J285+L285)</f>
        <v/>
      </c>
      <c r="N285" s="18" t="n"/>
      <c r="O285" s="18">
        <f>IF(A285="","",M285-N285)</f>
        <v/>
      </c>
      <c r="P285" s="17" t="n"/>
    </row>
    <row r="286">
      <c r="A286" s="17" t="n"/>
      <c r="B286" s="17" t="n"/>
      <c r="C286" s="17" t="n"/>
      <c r="D286" s="17" t="n"/>
      <c r="E286" s="17" t="n"/>
      <c r="F286" s="16" t="n"/>
      <c r="G286" s="17" t="n"/>
      <c r="H286" s="17">
        <f>IF(A286="","",COUNTIF(Leads!$P$2:$P$501,A286))</f>
        <v/>
      </c>
      <c r="I286" s="17">
        <f>IF(A286="","",COUNTIFS(Leads!$P$2:$P$501,A286,Leads!$I$2:$I$501,"Won",Leads!$N$2:$N$501,"&gt;="&amp;Settings!$B$7))</f>
        <v/>
      </c>
      <c r="J286" s="18">
        <f>IF(A286="","",SUMIF(Leads!$P$2:$P$501,A286,Leads!$Q$2:$Q$501))</f>
        <v/>
      </c>
      <c r="K286" s="18">
        <f>IF(A286="","",SUMIF(Leads!$P$2:$P$501,A286,Leads!$R$2:$R$501))</f>
        <v/>
      </c>
      <c r="L286" s="18">
        <f>IF(A286="","",IF(I286&gt;=3,Settings!$B$6,0))</f>
        <v/>
      </c>
      <c r="M286" s="18">
        <f>IF(A286="","",J286+L286)</f>
        <v/>
      </c>
      <c r="N286" s="18" t="n"/>
      <c r="O286" s="18">
        <f>IF(A286="","",M286-N286)</f>
        <v/>
      </c>
      <c r="P286" s="17" t="n"/>
    </row>
    <row r="287">
      <c r="A287" s="17" t="n"/>
      <c r="B287" s="17" t="n"/>
      <c r="C287" s="17" t="n"/>
      <c r="D287" s="17" t="n"/>
      <c r="E287" s="17" t="n"/>
      <c r="F287" s="16" t="n"/>
      <c r="G287" s="17" t="n"/>
      <c r="H287" s="17">
        <f>IF(A287="","",COUNTIF(Leads!$P$2:$P$501,A287))</f>
        <v/>
      </c>
      <c r="I287" s="17">
        <f>IF(A287="","",COUNTIFS(Leads!$P$2:$P$501,A287,Leads!$I$2:$I$501,"Won",Leads!$N$2:$N$501,"&gt;="&amp;Settings!$B$7))</f>
        <v/>
      </c>
      <c r="J287" s="18">
        <f>IF(A287="","",SUMIF(Leads!$P$2:$P$501,A287,Leads!$Q$2:$Q$501))</f>
        <v/>
      </c>
      <c r="K287" s="18">
        <f>IF(A287="","",SUMIF(Leads!$P$2:$P$501,A287,Leads!$R$2:$R$501))</f>
        <v/>
      </c>
      <c r="L287" s="18">
        <f>IF(A287="","",IF(I287&gt;=3,Settings!$B$6,0))</f>
        <v/>
      </c>
      <c r="M287" s="18">
        <f>IF(A287="","",J287+L287)</f>
        <v/>
      </c>
      <c r="N287" s="18" t="n"/>
      <c r="O287" s="18">
        <f>IF(A287="","",M287-N287)</f>
        <v/>
      </c>
      <c r="P287" s="17" t="n"/>
    </row>
    <row r="288">
      <c r="A288" s="17" t="n"/>
      <c r="B288" s="17" t="n"/>
      <c r="C288" s="17" t="n"/>
      <c r="D288" s="17" t="n"/>
      <c r="E288" s="17" t="n"/>
      <c r="F288" s="16" t="n"/>
      <c r="G288" s="17" t="n"/>
      <c r="H288" s="17">
        <f>IF(A288="","",COUNTIF(Leads!$P$2:$P$501,A288))</f>
        <v/>
      </c>
      <c r="I288" s="17">
        <f>IF(A288="","",COUNTIFS(Leads!$P$2:$P$501,A288,Leads!$I$2:$I$501,"Won",Leads!$N$2:$N$501,"&gt;="&amp;Settings!$B$7))</f>
        <v/>
      </c>
      <c r="J288" s="18">
        <f>IF(A288="","",SUMIF(Leads!$P$2:$P$501,A288,Leads!$Q$2:$Q$501))</f>
        <v/>
      </c>
      <c r="K288" s="18">
        <f>IF(A288="","",SUMIF(Leads!$P$2:$P$501,A288,Leads!$R$2:$R$501))</f>
        <v/>
      </c>
      <c r="L288" s="18">
        <f>IF(A288="","",IF(I288&gt;=3,Settings!$B$6,0))</f>
        <v/>
      </c>
      <c r="M288" s="18">
        <f>IF(A288="","",J288+L288)</f>
        <v/>
      </c>
      <c r="N288" s="18" t="n"/>
      <c r="O288" s="18">
        <f>IF(A288="","",M288-N288)</f>
        <v/>
      </c>
      <c r="P288" s="17" t="n"/>
    </row>
    <row r="289">
      <c r="A289" s="17" t="n"/>
      <c r="B289" s="17" t="n"/>
      <c r="C289" s="17" t="n"/>
      <c r="D289" s="17" t="n"/>
      <c r="E289" s="17" t="n"/>
      <c r="F289" s="16" t="n"/>
      <c r="G289" s="17" t="n"/>
      <c r="H289" s="17">
        <f>IF(A289="","",COUNTIF(Leads!$P$2:$P$501,A289))</f>
        <v/>
      </c>
      <c r="I289" s="17">
        <f>IF(A289="","",COUNTIFS(Leads!$P$2:$P$501,A289,Leads!$I$2:$I$501,"Won",Leads!$N$2:$N$501,"&gt;="&amp;Settings!$B$7))</f>
        <v/>
      </c>
      <c r="J289" s="18">
        <f>IF(A289="","",SUMIF(Leads!$P$2:$P$501,A289,Leads!$Q$2:$Q$501))</f>
        <v/>
      </c>
      <c r="K289" s="18">
        <f>IF(A289="","",SUMIF(Leads!$P$2:$P$501,A289,Leads!$R$2:$R$501))</f>
        <v/>
      </c>
      <c r="L289" s="18">
        <f>IF(A289="","",IF(I289&gt;=3,Settings!$B$6,0))</f>
        <v/>
      </c>
      <c r="M289" s="18">
        <f>IF(A289="","",J289+L289)</f>
        <v/>
      </c>
      <c r="N289" s="18" t="n"/>
      <c r="O289" s="18">
        <f>IF(A289="","",M289-N289)</f>
        <v/>
      </c>
      <c r="P289" s="17" t="n"/>
    </row>
    <row r="290">
      <c r="A290" s="17" t="n"/>
      <c r="B290" s="17" t="n"/>
      <c r="C290" s="17" t="n"/>
      <c r="D290" s="17" t="n"/>
      <c r="E290" s="17" t="n"/>
      <c r="F290" s="16" t="n"/>
      <c r="G290" s="17" t="n"/>
      <c r="H290" s="17">
        <f>IF(A290="","",COUNTIF(Leads!$P$2:$P$501,A290))</f>
        <v/>
      </c>
      <c r="I290" s="17">
        <f>IF(A290="","",COUNTIFS(Leads!$P$2:$P$501,A290,Leads!$I$2:$I$501,"Won",Leads!$N$2:$N$501,"&gt;="&amp;Settings!$B$7))</f>
        <v/>
      </c>
      <c r="J290" s="18">
        <f>IF(A290="","",SUMIF(Leads!$P$2:$P$501,A290,Leads!$Q$2:$Q$501))</f>
        <v/>
      </c>
      <c r="K290" s="18">
        <f>IF(A290="","",SUMIF(Leads!$P$2:$P$501,A290,Leads!$R$2:$R$501))</f>
        <v/>
      </c>
      <c r="L290" s="18">
        <f>IF(A290="","",IF(I290&gt;=3,Settings!$B$6,0))</f>
        <v/>
      </c>
      <c r="M290" s="18">
        <f>IF(A290="","",J290+L290)</f>
        <v/>
      </c>
      <c r="N290" s="18" t="n"/>
      <c r="O290" s="18">
        <f>IF(A290="","",M290-N290)</f>
        <v/>
      </c>
      <c r="P290" s="17" t="n"/>
    </row>
    <row r="291">
      <c r="A291" s="17" t="n"/>
      <c r="B291" s="17" t="n"/>
      <c r="C291" s="17" t="n"/>
      <c r="D291" s="17" t="n"/>
      <c r="E291" s="17" t="n"/>
      <c r="F291" s="16" t="n"/>
      <c r="G291" s="17" t="n"/>
      <c r="H291" s="17">
        <f>IF(A291="","",COUNTIF(Leads!$P$2:$P$501,A291))</f>
        <v/>
      </c>
      <c r="I291" s="17">
        <f>IF(A291="","",COUNTIFS(Leads!$P$2:$P$501,A291,Leads!$I$2:$I$501,"Won",Leads!$N$2:$N$501,"&gt;="&amp;Settings!$B$7))</f>
        <v/>
      </c>
      <c r="J291" s="18">
        <f>IF(A291="","",SUMIF(Leads!$P$2:$P$501,A291,Leads!$Q$2:$Q$501))</f>
        <v/>
      </c>
      <c r="K291" s="18">
        <f>IF(A291="","",SUMIF(Leads!$P$2:$P$501,A291,Leads!$R$2:$R$501))</f>
        <v/>
      </c>
      <c r="L291" s="18">
        <f>IF(A291="","",IF(I291&gt;=3,Settings!$B$6,0))</f>
        <v/>
      </c>
      <c r="M291" s="18">
        <f>IF(A291="","",J291+L291)</f>
        <v/>
      </c>
      <c r="N291" s="18" t="n"/>
      <c r="O291" s="18">
        <f>IF(A291="","",M291-N291)</f>
        <v/>
      </c>
      <c r="P291" s="17" t="n"/>
    </row>
    <row r="292">
      <c r="A292" s="17" t="n"/>
      <c r="B292" s="17" t="n"/>
      <c r="C292" s="17" t="n"/>
      <c r="D292" s="17" t="n"/>
      <c r="E292" s="17" t="n"/>
      <c r="F292" s="16" t="n"/>
      <c r="G292" s="17" t="n"/>
      <c r="H292" s="17">
        <f>IF(A292="","",COUNTIF(Leads!$P$2:$P$501,A292))</f>
        <v/>
      </c>
      <c r="I292" s="17">
        <f>IF(A292="","",COUNTIFS(Leads!$P$2:$P$501,A292,Leads!$I$2:$I$501,"Won",Leads!$N$2:$N$501,"&gt;="&amp;Settings!$B$7))</f>
        <v/>
      </c>
      <c r="J292" s="18">
        <f>IF(A292="","",SUMIF(Leads!$P$2:$P$501,A292,Leads!$Q$2:$Q$501))</f>
        <v/>
      </c>
      <c r="K292" s="18">
        <f>IF(A292="","",SUMIF(Leads!$P$2:$P$501,A292,Leads!$R$2:$R$501))</f>
        <v/>
      </c>
      <c r="L292" s="18">
        <f>IF(A292="","",IF(I292&gt;=3,Settings!$B$6,0))</f>
        <v/>
      </c>
      <c r="M292" s="18">
        <f>IF(A292="","",J292+L292)</f>
        <v/>
      </c>
      <c r="N292" s="18" t="n"/>
      <c r="O292" s="18">
        <f>IF(A292="","",M292-N292)</f>
        <v/>
      </c>
      <c r="P292" s="17" t="n"/>
    </row>
    <row r="293">
      <c r="A293" s="17" t="n"/>
      <c r="B293" s="17" t="n"/>
      <c r="C293" s="17" t="n"/>
      <c r="D293" s="17" t="n"/>
      <c r="E293" s="17" t="n"/>
      <c r="F293" s="16" t="n"/>
      <c r="G293" s="17" t="n"/>
      <c r="H293" s="17">
        <f>IF(A293="","",COUNTIF(Leads!$P$2:$P$501,A293))</f>
        <v/>
      </c>
      <c r="I293" s="17">
        <f>IF(A293="","",COUNTIFS(Leads!$P$2:$P$501,A293,Leads!$I$2:$I$501,"Won",Leads!$N$2:$N$501,"&gt;="&amp;Settings!$B$7))</f>
        <v/>
      </c>
      <c r="J293" s="18">
        <f>IF(A293="","",SUMIF(Leads!$P$2:$P$501,A293,Leads!$Q$2:$Q$501))</f>
        <v/>
      </c>
      <c r="K293" s="18">
        <f>IF(A293="","",SUMIF(Leads!$P$2:$P$501,A293,Leads!$R$2:$R$501))</f>
        <v/>
      </c>
      <c r="L293" s="18">
        <f>IF(A293="","",IF(I293&gt;=3,Settings!$B$6,0))</f>
        <v/>
      </c>
      <c r="M293" s="18">
        <f>IF(A293="","",J293+L293)</f>
        <v/>
      </c>
      <c r="N293" s="18" t="n"/>
      <c r="O293" s="18">
        <f>IF(A293="","",M293-N293)</f>
        <v/>
      </c>
      <c r="P293" s="17" t="n"/>
    </row>
    <row r="294">
      <c r="A294" s="17" t="n"/>
      <c r="B294" s="17" t="n"/>
      <c r="C294" s="17" t="n"/>
      <c r="D294" s="17" t="n"/>
      <c r="E294" s="17" t="n"/>
      <c r="F294" s="16" t="n"/>
      <c r="G294" s="17" t="n"/>
      <c r="H294" s="17">
        <f>IF(A294="","",COUNTIF(Leads!$P$2:$P$501,A294))</f>
        <v/>
      </c>
      <c r="I294" s="17">
        <f>IF(A294="","",COUNTIFS(Leads!$P$2:$P$501,A294,Leads!$I$2:$I$501,"Won",Leads!$N$2:$N$501,"&gt;="&amp;Settings!$B$7))</f>
        <v/>
      </c>
      <c r="J294" s="18">
        <f>IF(A294="","",SUMIF(Leads!$P$2:$P$501,A294,Leads!$Q$2:$Q$501))</f>
        <v/>
      </c>
      <c r="K294" s="18">
        <f>IF(A294="","",SUMIF(Leads!$P$2:$P$501,A294,Leads!$R$2:$R$501))</f>
        <v/>
      </c>
      <c r="L294" s="18">
        <f>IF(A294="","",IF(I294&gt;=3,Settings!$B$6,0))</f>
        <v/>
      </c>
      <c r="M294" s="18">
        <f>IF(A294="","",J294+L294)</f>
        <v/>
      </c>
      <c r="N294" s="18" t="n"/>
      <c r="O294" s="18">
        <f>IF(A294="","",M294-N294)</f>
        <v/>
      </c>
      <c r="P294" s="17" t="n"/>
    </row>
    <row r="295">
      <c r="A295" s="17" t="n"/>
      <c r="B295" s="17" t="n"/>
      <c r="C295" s="17" t="n"/>
      <c r="D295" s="17" t="n"/>
      <c r="E295" s="17" t="n"/>
      <c r="F295" s="16" t="n"/>
      <c r="G295" s="17" t="n"/>
      <c r="H295" s="17">
        <f>IF(A295="","",COUNTIF(Leads!$P$2:$P$501,A295))</f>
        <v/>
      </c>
      <c r="I295" s="17">
        <f>IF(A295="","",COUNTIFS(Leads!$P$2:$P$501,A295,Leads!$I$2:$I$501,"Won",Leads!$N$2:$N$501,"&gt;="&amp;Settings!$B$7))</f>
        <v/>
      </c>
      <c r="J295" s="18">
        <f>IF(A295="","",SUMIF(Leads!$P$2:$P$501,A295,Leads!$Q$2:$Q$501))</f>
        <v/>
      </c>
      <c r="K295" s="18">
        <f>IF(A295="","",SUMIF(Leads!$P$2:$P$501,A295,Leads!$R$2:$R$501))</f>
        <v/>
      </c>
      <c r="L295" s="18">
        <f>IF(A295="","",IF(I295&gt;=3,Settings!$B$6,0))</f>
        <v/>
      </c>
      <c r="M295" s="18">
        <f>IF(A295="","",J295+L295)</f>
        <v/>
      </c>
      <c r="N295" s="18" t="n"/>
      <c r="O295" s="18">
        <f>IF(A295="","",M295-N295)</f>
        <v/>
      </c>
      <c r="P295" s="17" t="n"/>
    </row>
    <row r="296">
      <c r="A296" s="17" t="n"/>
      <c r="B296" s="17" t="n"/>
      <c r="C296" s="17" t="n"/>
      <c r="D296" s="17" t="n"/>
      <c r="E296" s="17" t="n"/>
      <c r="F296" s="16" t="n"/>
      <c r="G296" s="17" t="n"/>
      <c r="H296" s="17">
        <f>IF(A296="","",COUNTIF(Leads!$P$2:$P$501,A296))</f>
        <v/>
      </c>
      <c r="I296" s="17">
        <f>IF(A296="","",COUNTIFS(Leads!$P$2:$P$501,A296,Leads!$I$2:$I$501,"Won",Leads!$N$2:$N$501,"&gt;="&amp;Settings!$B$7))</f>
        <v/>
      </c>
      <c r="J296" s="18">
        <f>IF(A296="","",SUMIF(Leads!$P$2:$P$501,A296,Leads!$Q$2:$Q$501))</f>
        <v/>
      </c>
      <c r="K296" s="18">
        <f>IF(A296="","",SUMIF(Leads!$P$2:$P$501,A296,Leads!$R$2:$R$501))</f>
        <v/>
      </c>
      <c r="L296" s="18">
        <f>IF(A296="","",IF(I296&gt;=3,Settings!$B$6,0))</f>
        <v/>
      </c>
      <c r="M296" s="18">
        <f>IF(A296="","",J296+L296)</f>
        <v/>
      </c>
      <c r="N296" s="18" t="n"/>
      <c r="O296" s="18">
        <f>IF(A296="","",M296-N296)</f>
        <v/>
      </c>
      <c r="P296" s="17" t="n"/>
    </row>
    <row r="297">
      <c r="A297" s="17" t="n"/>
      <c r="B297" s="17" t="n"/>
      <c r="C297" s="17" t="n"/>
      <c r="D297" s="17" t="n"/>
      <c r="E297" s="17" t="n"/>
      <c r="F297" s="16" t="n"/>
      <c r="G297" s="17" t="n"/>
      <c r="H297" s="17">
        <f>IF(A297="","",COUNTIF(Leads!$P$2:$P$501,A297))</f>
        <v/>
      </c>
      <c r="I297" s="17">
        <f>IF(A297="","",COUNTIFS(Leads!$P$2:$P$501,A297,Leads!$I$2:$I$501,"Won",Leads!$N$2:$N$501,"&gt;="&amp;Settings!$B$7))</f>
        <v/>
      </c>
      <c r="J297" s="18">
        <f>IF(A297="","",SUMIF(Leads!$P$2:$P$501,A297,Leads!$Q$2:$Q$501))</f>
        <v/>
      </c>
      <c r="K297" s="18">
        <f>IF(A297="","",SUMIF(Leads!$P$2:$P$501,A297,Leads!$R$2:$R$501))</f>
        <v/>
      </c>
      <c r="L297" s="18">
        <f>IF(A297="","",IF(I297&gt;=3,Settings!$B$6,0))</f>
        <v/>
      </c>
      <c r="M297" s="18">
        <f>IF(A297="","",J297+L297)</f>
        <v/>
      </c>
      <c r="N297" s="18" t="n"/>
      <c r="O297" s="18">
        <f>IF(A297="","",M297-N297)</f>
        <v/>
      </c>
      <c r="P297" s="17" t="n"/>
    </row>
    <row r="298">
      <c r="A298" s="17" t="n"/>
      <c r="B298" s="17" t="n"/>
      <c r="C298" s="17" t="n"/>
      <c r="D298" s="17" t="n"/>
      <c r="E298" s="17" t="n"/>
      <c r="F298" s="16" t="n"/>
      <c r="G298" s="17" t="n"/>
      <c r="H298" s="17">
        <f>IF(A298="","",COUNTIF(Leads!$P$2:$P$501,A298))</f>
        <v/>
      </c>
      <c r="I298" s="17">
        <f>IF(A298="","",COUNTIFS(Leads!$P$2:$P$501,A298,Leads!$I$2:$I$501,"Won",Leads!$N$2:$N$501,"&gt;="&amp;Settings!$B$7))</f>
        <v/>
      </c>
      <c r="J298" s="18">
        <f>IF(A298="","",SUMIF(Leads!$P$2:$P$501,A298,Leads!$Q$2:$Q$501))</f>
        <v/>
      </c>
      <c r="K298" s="18">
        <f>IF(A298="","",SUMIF(Leads!$P$2:$P$501,A298,Leads!$R$2:$R$501))</f>
        <v/>
      </c>
      <c r="L298" s="18">
        <f>IF(A298="","",IF(I298&gt;=3,Settings!$B$6,0))</f>
        <v/>
      </c>
      <c r="M298" s="18">
        <f>IF(A298="","",J298+L298)</f>
        <v/>
      </c>
      <c r="N298" s="18" t="n"/>
      <c r="O298" s="18">
        <f>IF(A298="","",M298-N298)</f>
        <v/>
      </c>
      <c r="P298" s="17" t="n"/>
    </row>
    <row r="299">
      <c r="A299" s="17" t="n"/>
      <c r="B299" s="17" t="n"/>
      <c r="C299" s="17" t="n"/>
      <c r="D299" s="17" t="n"/>
      <c r="E299" s="17" t="n"/>
      <c r="F299" s="16" t="n"/>
      <c r="G299" s="17" t="n"/>
      <c r="H299" s="17">
        <f>IF(A299="","",COUNTIF(Leads!$P$2:$P$501,A299))</f>
        <v/>
      </c>
      <c r="I299" s="17">
        <f>IF(A299="","",COUNTIFS(Leads!$P$2:$P$501,A299,Leads!$I$2:$I$501,"Won",Leads!$N$2:$N$501,"&gt;="&amp;Settings!$B$7))</f>
        <v/>
      </c>
      <c r="J299" s="18">
        <f>IF(A299="","",SUMIF(Leads!$P$2:$P$501,A299,Leads!$Q$2:$Q$501))</f>
        <v/>
      </c>
      <c r="K299" s="18">
        <f>IF(A299="","",SUMIF(Leads!$P$2:$P$501,A299,Leads!$R$2:$R$501))</f>
        <v/>
      </c>
      <c r="L299" s="18">
        <f>IF(A299="","",IF(I299&gt;=3,Settings!$B$6,0))</f>
        <v/>
      </c>
      <c r="M299" s="18">
        <f>IF(A299="","",J299+L299)</f>
        <v/>
      </c>
      <c r="N299" s="18" t="n"/>
      <c r="O299" s="18">
        <f>IF(A299="","",M299-N299)</f>
        <v/>
      </c>
      <c r="P299" s="17" t="n"/>
    </row>
    <row r="300">
      <c r="A300" s="17" t="n"/>
      <c r="B300" s="17" t="n"/>
      <c r="C300" s="17" t="n"/>
      <c r="D300" s="17" t="n"/>
      <c r="E300" s="17" t="n"/>
      <c r="F300" s="16" t="n"/>
      <c r="G300" s="17" t="n"/>
      <c r="H300" s="17">
        <f>IF(A300="","",COUNTIF(Leads!$P$2:$P$501,A300))</f>
        <v/>
      </c>
      <c r="I300" s="17">
        <f>IF(A300="","",COUNTIFS(Leads!$P$2:$P$501,A300,Leads!$I$2:$I$501,"Won",Leads!$N$2:$N$501,"&gt;="&amp;Settings!$B$7))</f>
        <v/>
      </c>
      <c r="J300" s="18">
        <f>IF(A300="","",SUMIF(Leads!$P$2:$P$501,A300,Leads!$Q$2:$Q$501))</f>
        <v/>
      </c>
      <c r="K300" s="18">
        <f>IF(A300="","",SUMIF(Leads!$P$2:$P$501,A300,Leads!$R$2:$R$501))</f>
        <v/>
      </c>
      <c r="L300" s="18">
        <f>IF(A300="","",IF(I300&gt;=3,Settings!$B$6,0))</f>
        <v/>
      </c>
      <c r="M300" s="18">
        <f>IF(A300="","",J300+L300)</f>
        <v/>
      </c>
      <c r="N300" s="18" t="n"/>
      <c r="O300" s="18">
        <f>IF(A300="","",M300-N300)</f>
        <v/>
      </c>
      <c r="P300" s="17" t="n"/>
    </row>
    <row r="301">
      <c r="A301" s="17" t="n"/>
      <c r="B301" s="17" t="n"/>
      <c r="C301" s="17" t="n"/>
      <c r="D301" s="17" t="n"/>
      <c r="E301" s="17" t="n"/>
      <c r="F301" s="16" t="n"/>
      <c r="G301" s="17" t="n"/>
      <c r="H301" s="17">
        <f>IF(A301="","",COUNTIF(Leads!$P$2:$P$501,A301))</f>
        <v/>
      </c>
      <c r="I301" s="17">
        <f>IF(A301="","",COUNTIFS(Leads!$P$2:$P$501,A301,Leads!$I$2:$I$501,"Won",Leads!$N$2:$N$501,"&gt;="&amp;Settings!$B$7))</f>
        <v/>
      </c>
      <c r="J301" s="18">
        <f>IF(A301="","",SUMIF(Leads!$P$2:$P$501,A301,Leads!$Q$2:$Q$501))</f>
        <v/>
      </c>
      <c r="K301" s="18">
        <f>IF(A301="","",SUMIF(Leads!$P$2:$P$501,A301,Leads!$R$2:$R$501))</f>
        <v/>
      </c>
      <c r="L301" s="18">
        <f>IF(A301="","",IF(I301&gt;=3,Settings!$B$6,0))</f>
        <v/>
      </c>
      <c r="M301" s="18">
        <f>IF(A301="","",J301+L301)</f>
        <v/>
      </c>
      <c r="N301" s="18" t="n"/>
      <c r="O301" s="18">
        <f>IF(A301="","",M301-N301)</f>
        <v/>
      </c>
      <c r="P301" s="17" t="n"/>
    </row>
    <row r="302">
      <c r="A302" s="17" t="n"/>
      <c r="B302" s="17" t="n"/>
      <c r="C302" s="17" t="n"/>
      <c r="D302" s="17" t="n"/>
      <c r="E302" s="17" t="n"/>
      <c r="F302" s="16" t="n"/>
      <c r="G302" s="17" t="n"/>
      <c r="H302" s="17">
        <f>IF(A302="","",COUNTIF(Leads!$P$2:$P$501,A302))</f>
        <v/>
      </c>
      <c r="I302" s="17">
        <f>IF(A302="","",COUNTIFS(Leads!$P$2:$P$501,A302,Leads!$I$2:$I$501,"Won",Leads!$N$2:$N$501,"&gt;="&amp;Settings!$B$7))</f>
        <v/>
      </c>
      <c r="J302" s="18">
        <f>IF(A302="","",SUMIF(Leads!$P$2:$P$501,A302,Leads!$Q$2:$Q$501))</f>
        <v/>
      </c>
      <c r="K302" s="18">
        <f>IF(A302="","",SUMIF(Leads!$P$2:$P$501,A302,Leads!$R$2:$R$501))</f>
        <v/>
      </c>
      <c r="L302" s="18">
        <f>IF(A302="","",IF(I302&gt;=3,Settings!$B$6,0))</f>
        <v/>
      </c>
      <c r="M302" s="18">
        <f>IF(A302="","",J302+L302)</f>
        <v/>
      </c>
      <c r="N302" s="18" t="n"/>
      <c r="O302" s="18">
        <f>IF(A302="","",M302-N302)</f>
        <v/>
      </c>
      <c r="P302" s="17" t="n"/>
    </row>
    <row r="303">
      <c r="A303" s="17" t="n"/>
      <c r="B303" s="17" t="n"/>
      <c r="C303" s="17" t="n"/>
      <c r="D303" s="17" t="n"/>
      <c r="E303" s="17" t="n"/>
      <c r="F303" s="16" t="n"/>
      <c r="G303" s="17" t="n"/>
      <c r="H303" s="17">
        <f>IF(A303="","",COUNTIF(Leads!$P$2:$P$501,A303))</f>
        <v/>
      </c>
      <c r="I303" s="17">
        <f>IF(A303="","",COUNTIFS(Leads!$P$2:$P$501,A303,Leads!$I$2:$I$501,"Won",Leads!$N$2:$N$501,"&gt;="&amp;Settings!$B$7))</f>
        <v/>
      </c>
      <c r="J303" s="18">
        <f>IF(A303="","",SUMIF(Leads!$P$2:$P$501,A303,Leads!$Q$2:$Q$501))</f>
        <v/>
      </c>
      <c r="K303" s="18">
        <f>IF(A303="","",SUMIF(Leads!$P$2:$P$501,A303,Leads!$R$2:$R$501))</f>
        <v/>
      </c>
      <c r="L303" s="18">
        <f>IF(A303="","",IF(I303&gt;=3,Settings!$B$6,0))</f>
        <v/>
      </c>
      <c r="M303" s="18">
        <f>IF(A303="","",J303+L303)</f>
        <v/>
      </c>
      <c r="N303" s="18" t="n"/>
      <c r="O303" s="18">
        <f>IF(A303="","",M303-N303)</f>
        <v/>
      </c>
      <c r="P303" s="17" t="n"/>
    </row>
    <row r="304">
      <c r="A304" s="17" t="n"/>
      <c r="B304" s="17" t="n"/>
      <c r="C304" s="17" t="n"/>
      <c r="D304" s="17" t="n"/>
      <c r="E304" s="17" t="n"/>
      <c r="F304" s="16" t="n"/>
      <c r="G304" s="17" t="n"/>
      <c r="H304" s="17">
        <f>IF(A304="","",COUNTIF(Leads!$P$2:$P$501,A304))</f>
        <v/>
      </c>
      <c r="I304" s="17">
        <f>IF(A304="","",COUNTIFS(Leads!$P$2:$P$501,A304,Leads!$I$2:$I$501,"Won",Leads!$N$2:$N$501,"&gt;="&amp;Settings!$B$7))</f>
        <v/>
      </c>
      <c r="J304" s="18">
        <f>IF(A304="","",SUMIF(Leads!$P$2:$P$501,A304,Leads!$Q$2:$Q$501))</f>
        <v/>
      </c>
      <c r="K304" s="18">
        <f>IF(A304="","",SUMIF(Leads!$P$2:$P$501,A304,Leads!$R$2:$R$501))</f>
        <v/>
      </c>
      <c r="L304" s="18">
        <f>IF(A304="","",IF(I304&gt;=3,Settings!$B$6,0))</f>
        <v/>
      </c>
      <c r="M304" s="18">
        <f>IF(A304="","",J304+L304)</f>
        <v/>
      </c>
      <c r="N304" s="18" t="n"/>
      <c r="O304" s="18">
        <f>IF(A304="","",M304-N304)</f>
        <v/>
      </c>
      <c r="P304" s="17" t="n"/>
    </row>
    <row r="305">
      <c r="A305" s="17" t="n"/>
      <c r="B305" s="17" t="n"/>
      <c r="C305" s="17" t="n"/>
      <c r="D305" s="17" t="n"/>
      <c r="E305" s="17" t="n"/>
      <c r="F305" s="16" t="n"/>
      <c r="G305" s="17" t="n"/>
      <c r="H305" s="17">
        <f>IF(A305="","",COUNTIF(Leads!$P$2:$P$501,A305))</f>
        <v/>
      </c>
      <c r="I305" s="17">
        <f>IF(A305="","",COUNTIFS(Leads!$P$2:$P$501,A305,Leads!$I$2:$I$501,"Won",Leads!$N$2:$N$501,"&gt;="&amp;Settings!$B$7))</f>
        <v/>
      </c>
      <c r="J305" s="18">
        <f>IF(A305="","",SUMIF(Leads!$P$2:$P$501,A305,Leads!$Q$2:$Q$501))</f>
        <v/>
      </c>
      <c r="K305" s="18">
        <f>IF(A305="","",SUMIF(Leads!$P$2:$P$501,A305,Leads!$R$2:$R$501))</f>
        <v/>
      </c>
      <c r="L305" s="18">
        <f>IF(A305="","",IF(I305&gt;=3,Settings!$B$6,0))</f>
        <v/>
      </c>
      <c r="M305" s="18">
        <f>IF(A305="","",J305+L305)</f>
        <v/>
      </c>
      <c r="N305" s="18" t="n"/>
      <c r="O305" s="18">
        <f>IF(A305="","",M305-N305)</f>
        <v/>
      </c>
      <c r="P305" s="17" t="n"/>
    </row>
    <row r="306">
      <c r="A306" s="17" t="n"/>
      <c r="B306" s="17" t="n"/>
      <c r="C306" s="17" t="n"/>
      <c r="D306" s="17" t="n"/>
      <c r="E306" s="17" t="n"/>
      <c r="F306" s="16" t="n"/>
      <c r="G306" s="17" t="n"/>
      <c r="H306" s="17">
        <f>IF(A306="","",COUNTIF(Leads!$P$2:$P$501,A306))</f>
        <v/>
      </c>
      <c r="I306" s="17">
        <f>IF(A306="","",COUNTIFS(Leads!$P$2:$P$501,A306,Leads!$I$2:$I$501,"Won",Leads!$N$2:$N$501,"&gt;="&amp;Settings!$B$7))</f>
        <v/>
      </c>
      <c r="J306" s="18">
        <f>IF(A306="","",SUMIF(Leads!$P$2:$P$501,A306,Leads!$Q$2:$Q$501))</f>
        <v/>
      </c>
      <c r="K306" s="18">
        <f>IF(A306="","",SUMIF(Leads!$P$2:$P$501,A306,Leads!$R$2:$R$501))</f>
        <v/>
      </c>
      <c r="L306" s="18">
        <f>IF(A306="","",IF(I306&gt;=3,Settings!$B$6,0))</f>
        <v/>
      </c>
      <c r="M306" s="18">
        <f>IF(A306="","",J306+L306)</f>
        <v/>
      </c>
      <c r="N306" s="18" t="n"/>
      <c r="O306" s="18">
        <f>IF(A306="","",M306-N306)</f>
        <v/>
      </c>
      <c r="P306" s="17" t="n"/>
    </row>
    <row r="307">
      <c r="A307" s="17" t="n"/>
      <c r="B307" s="17" t="n"/>
      <c r="C307" s="17" t="n"/>
      <c r="D307" s="17" t="n"/>
      <c r="E307" s="17" t="n"/>
      <c r="F307" s="16" t="n"/>
      <c r="G307" s="17" t="n"/>
      <c r="H307" s="17">
        <f>IF(A307="","",COUNTIF(Leads!$P$2:$P$501,A307))</f>
        <v/>
      </c>
      <c r="I307" s="17">
        <f>IF(A307="","",COUNTIFS(Leads!$P$2:$P$501,A307,Leads!$I$2:$I$501,"Won",Leads!$N$2:$N$501,"&gt;="&amp;Settings!$B$7))</f>
        <v/>
      </c>
      <c r="J307" s="18">
        <f>IF(A307="","",SUMIF(Leads!$P$2:$P$501,A307,Leads!$Q$2:$Q$501))</f>
        <v/>
      </c>
      <c r="K307" s="18">
        <f>IF(A307="","",SUMIF(Leads!$P$2:$P$501,A307,Leads!$R$2:$R$501))</f>
        <v/>
      </c>
      <c r="L307" s="18">
        <f>IF(A307="","",IF(I307&gt;=3,Settings!$B$6,0))</f>
        <v/>
      </c>
      <c r="M307" s="18">
        <f>IF(A307="","",J307+L307)</f>
        <v/>
      </c>
      <c r="N307" s="18" t="n"/>
      <c r="O307" s="18">
        <f>IF(A307="","",M307-N307)</f>
        <v/>
      </c>
      <c r="P307" s="17" t="n"/>
    </row>
    <row r="308">
      <c r="A308" s="17" t="n"/>
      <c r="B308" s="17" t="n"/>
      <c r="C308" s="17" t="n"/>
      <c r="D308" s="17" t="n"/>
      <c r="E308" s="17" t="n"/>
      <c r="F308" s="16" t="n"/>
      <c r="G308" s="17" t="n"/>
      <c r="H308" s="17">
        <f>IF(A308="","",COUNTIF(Leads!$P$2:$P$501,A308))</f>
        <v/>
      </c>
      <c r="I308" s="17">
        <f>IF(A308="","",COUNTIFS(Leads!$P$2:$P$501,A308,Leads!$I$2:$I$501,"Won",Leads!$N$2:$N$501,"&gt;="&amp;Settings!$B$7))</f>
        <v/>
      </c>
      <c r="J308" s="18">
        <f>IF(A308="","",SUMIF(Leads!$P$2:$P$501,A308,Leads!$Q$2:$Q$501))</f>
        <v/>
      </c>
      <c r="K308" s="18">
        <f>IF(A308="","",SUMIF(Leads!$P$2:$P$501,A308,Leads!$R$2:$R$501))</f>
        <v/>
      </c>
      <c r="L308" s="18">
        <f>IF(A308="","",IF(I308&gt;=3,Settings!$B$6,0))</f>
        <v/>
      </c>
      <c r="M308" s="18">
        <f>IF(A308="","",J308+L308)</f>
        <v/>
      </c>
      <c r="N308" s="18" t="n"/>
      <c r="O308" s="18">
        <f>IF(A308="","",M308-N308)</f>
        <v/>
      </c>
      <c r="P308" s="17" t="n"/>
    </row>
    <row r="309">
      <c r="A309" s="17" t="n"/>
      <c r="B309" s="17" t="n"/>
      <c r="C309" s="17" t="n"/>
      <c r="D309" s="17" t="n"/>
      <c r="E309" s="17" t="n"/>
      <c r="F309" s="16" t="n"/>
      <c r="G309" s="17" t="n"/>
      <c r="H309" s="17">
        <f>IF(A309="","",COUNTIF(Leads!$P$2:$P$501,A309))</f>
        <v/>
      </c>
      <c r="I309" s="17">
        <f>IF(A309="","",COUNTIFS(Leads!$P$2:$P$501,A309,Leads!$I$2:$I$501,"Won",Leads!$N$2:$N$501,"&gt;="&amp;Settings!$B$7))</f>
        <v/>
      </c>
      <c r="J309" s="18">
        <f>IF(A309="","",SUMIF(Leads!$P$2:$P$501,A309,Leads!$Q$2:$Q$501))</f>
        <v/>
      </c>
      <c r="K309" s="18">
        <f>IF(A309="","",SUMIF(Leads!$P$2:$P$501,A309,Leads!$R$2:$R$501))</f>
        <v/>
      </c>
      <c r="L309" s="18">
        <f>IF(A309="","",IF(I309&gt;=3,Settings!$B$6,0))</f>
        <v/>
      </c>
      <c r="M309" s="18">
        <f>IF(A309="","",J309+L309)</f>
        <v/>
      </c>
      <c r="N309" s="18" t="n"/>
      <c r="O309" s="18">
        <f>IF(A309="","",M309-N309)</f>
        <v/>
      </c>
      <c r="P309" s="17" t="n"/>
    </row>
    <row r="310">
      <c r="A310" s="17" t="n"/>
      <c r="B310" s="17" t="n"/>
      <c r="C310" s="17" t="n"/>
      <c r="D310" s="17" t="n"/>
      <c r="E310" s="17" t="n"/>
      <c r="F310" s="16" t="n"/>
      <c r="G310" s="17" t="n"/>
      <c r="H310" s="17">
        <f>IF(A310="","",COUNTIF(Leads!$P$2:$P$501,A310))</f>
        <v/>
      </c>
      <c r="I310" s="17">
        <f>IF(A310="","",COUNTIFS(Leads!$P$2:$P$501,A310,Leads!$I$2:$I$501,"Won",Leads!$N$2:$N$501,"&gt;="&amp;Settings!$B$7))</f>
        <v/>
      </c>
      <c r="J310" s="18">
        <f>IF(A310="","",SUMIF(Leads!$P$2:$P$501,A310,Leads!$Q$2:$Q$501))</f>
        <v/>
      </c>
      <c r="K310" s="18">
        <f>IF(A310="","",SUMIF(Leads!$P$2:$P$501,A310,Leads!$R$2:$R$501))</f>
        <v/>
      </c>
      <c r="L310" s="18">
        <f>IF(A310="","",IF(I310&gt;=3,Settings!$B$6,0))</f>
        <v/>
      </c>
      <c r="M310" s="18">
        <f>IF(A310="","",J310+L310)</f>
        <v/>
      </c>
      <c r="N310" s="18" t="n"/>
      <c r="O310" s="18">
        <f>IF(A310="","",M310-N310)</f>
        <v/>
      </c>
      <c r="P310" s="17" t="n"/>
    </row>
    <row r="311">
      <c r="A311" s="17" t="n"/>
      <c r="B311" s="17" t="n"/>
      <c r="C311" s="17" t="n"/>
      <c r="D311" s="17" t="n"/>
      <c r="E311" s="17" t="n"/>
      <c r="F311" s="16" t="n"/>
      <c r="G311" s="17" t="n"/>
      <c r="H311" s="17">
        <f>IF(A311="","",COUNTIF(Leads!$P$2:$P$501,A311))</f>
        <v/>
      </c>
      <c r="I311" s="17">
        <f>IF(A311="","",COUNTIFS(Leads!$P$2:$P$501,A311,Leads!$I$2:$I$501,"Won",Leads!$N$2:$N$501,"&gt;="&amp;Settings!$B$7))</f>
        <v/>
      </c>
      <c r="J311" s="18">
        <f>IF(A311="","",SUMIF(Leads!$P$2:$P$501,A311,Leads!$Q$2:$Q$501))</f>
        <v/>
      </c>
      <c r="K311" s="18">
        <f>IF(A311="","",SUMIF(Leads!$P$2:$P$501,A311,Leads!$R$2:$R$501))</f>
        <v/>
      </c>
      <c r="L311" s="18">
        <f>IF(A311="","",IF(I311&gt;=3,Settings!$B$6,0))</f>
        <v/>
      </c>
      <c r="M311" s="18">
        <f>IF(A311="","",J311+L311)</f>
        <v/>
      </c>
      <c r="N311" s="18" t="n"/>
      <c r="O311" s="18">
        <f>IF(A311="","",M311-N311)</f>
        <v/>
      </c>
      <c r="P311" s="17" t="n"/>
    </row>
    <row r="312">
      <c r="A312" s="17" t="n"/>
      <c r="B312" s="17" t="n"/>
      <c r="C312" s="17" t="n"/>
      <c r="D312" s="17" t="n"/>
      <c r="E312" s="17" t="n"/>
      <c r="F312" s="16" t="n"/>
      <c r="G312" s="17" t="n"/>
      <c r="H312" s="17">
        <f>IF(A312="","",COUNTIF(Leads!$P$2:$P$501,A312))</f>
        <v/>
      </c>
      <c r="I312" s="17">
        <f>IF(A312="","",COUNTIFS(Leads!$P$2:$P$501,A312,Leads!$I$2:$I$501,"Won",Leads!$N$2:$N$501,"&gt;="&amp;Settings!$B$7))</f>
        <v/>
      </c>
      <c r="J312" s="18">
        <f>IF(A312="","",SUMIF(Leads!$P$2:$P$501,A312,Leads!$Q$2:$Q$501))</f>
        <v/>
      </c>
      <c r="K312" s="18">
        <f>IF(A312="","",SUMIF(Leads!$P$2:$P$501,A312,Leads!$R$2:$R$501))</f>
        <v/>
      </c>
      <c r="L312" s="18">
        <f>IF(A312="","",IF(I312&gt;=3,Settings!$B$6,0))</f>
        <v/>
      </c>
      <c r="M312" s="18">
        <f>IF(A312="","",J312+L312)</f>
        <v/>
      </c>
      <c r="N312" s="18" t="n"/>
      <c r="O312" s="18">
        <f>IF(A312="","",M312-N312)</f>
        <v/>
      </c>
      <c r="P312" s="17" t="n"/>
    </row>
    <row r="313">
      <c r="A313" s="17" t="n"/>
      <c r="B313" s="17" t="n"/>
      <c r="C313" s="17" t="n"/>
      <c r="D313" s="17" t="n"/>
      <c r="E313" s="17" t="n"/>
      <c r="F313" s="16" t="n"/>
      <c r="G313" s="17" t="n"/>
      <c r="H313" s="17">
        <f>IF(A313="","",COUNTIF(Leads!$P$2:$P$501,A313))</f>
        <v/>
      </c>
      <c r="I313" s="17">
        <f>IF(A313="","",COUNTIFS(Leads!$P$2:$P$501,A313,Leads!$I$2:$I$501,"Won",Leads!$N$2:$N$501,"&gt;="&amp;Settings!$B$7))</f>
        <v/>
      </c>
      <c r="J313" s="18">
        <f>IF(A313="","",SUMIF(Leads!$P$2:$P$501,A313,Leads!$Q$2:$Q$501))</f>
        <v/>
      </c>
      <c r="K313" s="18">
        <f>IF(A313="","",SUMIF(Leads!$P$2:$P$501,A313,Leads!$R$2:$R$501))</f>
        <v/>
      </c>
      <c r="L313" s="18">
        <f>IF(A313="","",IF(I313&gt;=3,Settings!$B$6,0))</f>
        <v/>
      </c>
      <c r="M313" s="18">
        <f>IF(A313="","",J313+L313)</f>
        <v/>
      </c>
      <c r="N313" s="18" t="n"/>
      <c r="O313" s="18">
        <f>IF(A313="","",M313-N313)</f>
        <v/>
      </c>
      <c r="P313" s="17" t="n"/>
    </row>
    <row r="314">
      <c r="A314" s="17" t="n"/>
      <c r="B314" s="17" t="n"/>
      <c r="C314" s="17" t="n"/>
      <c r="D314" s="17" t="n"/>
      <c r="E314" s="17" t="n"/>
      <c r="F314" s="16" t="n"/>
      <c r="G314" s="17" t="n"/>
      <c r="H314" s="17">
        <f>IF(A314="","",COUNTIF(Leads!$P$2:$P$501,A314))</f>
        <v/>
      </c>
      <c r="I314" s="17">
        <f>IF(A314="","",COUNTIFS(Leads!$P$2:$P$501,A314,Leads!$I$2:$I$501,"Won",Leads!$N$2:$N$501,"&gt;="&amp;Settings!$B$7))</f>
        <v/>
      </c>
      <c r="J314" s="18">
        <f>IF(A314="","",SUMIF(Leads!$P$2:$P$501,A314,Leads!$Q$2:$Q$501))</f>
        <v/>
      </c>
      <c r="K314" s="18">
        <f>IF(A314="","",SUMIF(Leads!$P$2:$P$501,A314,Leads!$R$2:$R$501))</f>
        <v/>
      </c>
      <c r="L314" s="18">
        <f>IF(A314="","",IF(I314&gt;=3,Settings!$B$6,0))</f>
        <v/>
      </c>
      <c r="M314" s="18">
        <f>IF(A314="","",J314+L314)</f>
        <v/>
      </c>
      <c r="N314" s="18" t="n"/>
      <c r="O314" s="18">
        <f>IF(A314="","",M314-N314)</f>
        <v/>
      </c>
      <c r="P314" s="17" t="n"/>
    </row>
    <row r="315">
      <c r="A315" s="17" t="n"/>
      <c r="B315" s="17" t="n"/>
      <c r="C315" s="17" t="n"/>
      <c r="D315" s="17" t="n"/>
      <c r="E315" s="17" t="n"/>
      <c r="F315" s="16" t="n"/>
      <c r="G315" s="17" t="n"/>
      <c r="H315" s="17">
        <f>IF(A315="","",COUNTIF(Leads!$P$2:$P$501,A315))</f>
        <v/>
      </c>
      <c r="I315" s="17">
        <f>IF(A315="","",COUNTIFS(Leads!$P$2:$P$501,A315,Leads!$I$2:$I$501,"Won",Leads!$N$2:$N$501,"&gt;="&amp;Settings!$B$7))</f>
        <v/>
      </c>
      <c r="J315" s="18">
        <f>IF(A315="","",SUMIF(Leads!$P$2:$P$501,A315,Leads!$Q$2:$Q$501))</f>
        <v/>
      </c>
      <c r="K315" s="18">
        <f>IF(A315="","",SUMIF(Leads!$P$2:$P$501,A315,Leads!$R$2:$R$501))</f>
        <v/>
      </c>
      <c r="L315" s="18">
        <f>IF(A315="","",IF(I315&gt;=3,Settings!$B$6,0))</f>
        <v/>
      </c>
      <c r="M315" s="18">
        <f>IF(A315="","",J315+L315)</f>
        <v/>
      </c>
      <c r="N315" s="18" t="n"/>
      <c r="O315" s="18">
        <f>IF(A315="","",M315-N315)</f>
        <v/>
      </c>
      <c r="P315" s="17" t="n"/>
    </row>
    <row r="316">
      <c r="A316" s="17" t="n"/>
      <c r="B316" s="17" t="n"/>
      <c r="C316" s="17" t="n"/>
      <c r="D316" s="17" t="n"/>
      <c r="E316" s="17" t="n"/>
      <c r="F316" s="16" t="n"/>
      <c r="G316" s="17" t="n"/>
      <c r="H316" s="17">
        <f>IF(A316="","",COUNTIF(Leads!$P$2:$P$501,A316))</f>
        <v/>
      </c>
      <c r="I316" s="17">
        <f>IF(A316="","",COUNTIFS(Leads!$P$2:$P$501,A316,Leads!$I$2:$I$501,"Won",Leads!$N$2:$N$501,"&gt;="&amp;Settings!$B$7))</f>
        <v/>
      </c>
      <c r="J316" s="18">
        <f>IF(A316="","",SUMIF(Leads!$P$2:$P$501,A316,Leads!$Q$2:$Q$501))</f>
        <v/>
      </c>
      <c r="K316" s="18">
        <f>IF(A316="","",SUMIF(Leads!$P$2:$P$501,A316,Leads!$R$2:$R$501))</f>
        <v/>
      </c>
      <c r="L316" s="18">
        <f>IF(A316="","",IF(I316&gt;=3,Settings!$B$6,0))</f>
        <v/>
      </c>
      <c r="M316" s="18">
        <f>IF(A316="","",J316+L316)</f>
        <v/>
      </c>
      <c r="N316" s="18" t="n"/>
      <c r="O316" s="18">
        <f>IF(A316="","",M316-N316)</f>
        <v/>
      </c>
      <c r="P316" s="17" t="n"/>
    </row>
    <row r="317">
      <c r="A317" s="17" t="n"/>
      <c r="B317" s="17" t="n"/>
      <c r="C317" s="17" t="n"/>
      <c r="D317" s="17" t="n"/>
      <c r="E317" s="17" t="n"/>
      <c r="F317" s="16" t="n"/>
      <c r="G317" s="17" t="n"/>
      <c r="H317" s="17">
        <f>IF(A317="","",COUNTIF(Leads!$P$2:$P$501,A317))</f>
        <v/>
      </c>
      <c r="I317" s="17">
        <f>IF(A317="","",COUNTIFS(Leads!$P$2:$P$501,A317,Leads!$I$2:$I$501,"Won",Leads!$N$2:$N$501,"&gt;="&amp;Settings!$B$7))</f>
        <v/>
      </c>
      <c r="J317" s="18">
        <f>IF(A317="","",SUMIF(Leads!$P$2:$P$501,A317,Leads!$Q$2:$Q$501))</f>
        <v/>
      </c>
      <c r="K317" s="18">
        <f>IF(A317="","",SUMIF(Leads!$P$2:$P$501,A317,Leads!$R$2:$R$501))</f>
        <v/>
      </c>
      <c r="L317" s="18">
        <f>IF(A317="","",IF(I317&gt;=3,Settings!$B$6,0))</f>
        <v/>
      </c>
      <c r="M317" s="18">
        <f>IF(A317="","",J317+L317)</f>
        <v/>
      </c>
      <c r="N317" s="18" t="n"/>
      <c r="O317" s="18">
        <f>IF(A317="","",M317-N317)</f>
        <v/>
      </c>
      <c r="P317" s="17" t="n"/>
    </row>
    <row r="318">
      <c r="A318" s="17" t="n"/>
      <c r="B318" s="17" t="n"/>
      <c r="C318" s="17" t="n"/>
      <c r="D318" s="17" t="n"/>
      <c r="E318" s="17" t="n"/>
      <c r="F318" s="16" t="n"/>
      <c r="G318" s="17" t="n"/>
      <c r="H318" s="17">
        <f>IF(A318="","",COUNTIF(Leads!$P$2:$P$501,A318))</f>
        <v/>
      </c>
      <c r="I318" s="17">
        <f>IF(A318="","",COUNTIFS(Leads!$P$2:$P$501,A318,Leads!$I$2:$I$501,"Won",Leads!$N$2:$N$501,"&gt;="&amp;Settings!$B$7))</f>
        <v/>
      </c>
      <c r="J318" s="18">
        <f>IF(A318="","",SUMIF(Leads!$P$2:$P$501,A318,Leads!$Q$2:$Q$501))</f>
        <v/>
      </c>
      <c r="K318" s="18">
        <f>IF(A318="","",SUMIF(Leads!$P$2:$P$501,A318,Leads!$R$2:$R$501))</f>
        <v/>
      </c>
      <c r="L318" s="18">
        <f>IF(A318="","",IF(I318&gt;=3,Settings!$B$6,0))</f>
        <v/>
      </c>
      <c r="M318" s="18">
        <f>IF(A318="","",J318+L318)</f>
        <v/>
      </c>
      <c r="N318" s="18" t="n"/>
      <c r="O318" s="18">
        <f>IF(A318="","",M318-N318)</f>
        <v/>
      </c>
      <c r="P318" s="17" t="n"/>
    </row>
    <row r="319">
      <c r="A319" s="17" t="n"/>
      <c r="B319" s="17" t="n"/>
      <c r="C319" s="17" t="n"/>
      <c r="D319" s="17" t="n"/>
      <c r="E319" s="17" t="n"/>
      <c r="F319" s="16" t="n"/>
      <c r="G319" s="17" t="n"/>
      <c r="H319" s="17">
        <f>IF(A319="","",COUNTIF(Leads!$P$2:$P$501,A319))</f>
        <v/>
      </c>
      <c r="I319" s="17">
        <f>IF(A319="","",COUNTIFS(Leads!$P$2:$P$501,A319,Leads!$I$2:$I$501,"Won",Leads!$N$2:$N$501,"&gt;="&amp;Settings!$B$7))</f>
        <v/>
      </c>
      <c r="J319" s="18">
        <f>IF(A319="","",SUMIF(Leads!$P$2:$P$501,A319,Leads!$Q$2:$Q$501))</f>
        <v/>
      </c>
      <c r="K319" s="18">
        <f>IF(A319="","",SUMIF(Leads!$P$2:$P$501,A319,Leads!$R$2:$R$501))</f>
        <v/>
      </c>
      <c r="L319" s="18">
        <f>IF(A319="","",IF(I319&gt;=3,Settings!$B$6,0))</f>
        <v/>
      </c>
      <c r="M319" s="18">
        <f>IF(A319="","",J319+L319)</f>
        <v/>
      </c>
      <c r="N319" s="18" t="n"/>
      <c r="O319" s="18">
        <f>IF(A319="","",M319-N319)</f>
        <v/>
      </c>
      <c r="P319" s="17" t="n"/>
    </row>
    <row r="320">
      <c r="A320" s="17" t="n"/>
      <c r="B320" s="17" t="n"/>
      <c r="C320" s="17" t="n"/>
      <c r="D320" s="17" t="n"/>
      <c r="E320" s="17" t="n"/>
      <c r="F320" s="16" t="n"/>
      <c r="G320" s="17" t="n"/>
      <c r="H320" s="17">
        <f>IF(A320="","",COUNTIF(Leads!$P$2:$P$501,A320))</f>
        <v/>
      </c>
      <c r="I320" s="17">
        <f>IF(A320="","",COUNTIFS(Leads!$P$2:$P$501,A320,Leads!$I$2:$I$501,"Won",Leads!$N$2:$N$501,"&gt;="&amp;Settings!$B$7))</f>
        <v/>
      </c>
      <c r="J320" s="18">
        <f>IF(A320="","",SUMIF(Leads!$P$2:$P$501,A320,Leads!$Q$2:$Q$501))</f>
        <v/>
      </c>
      <c r="K320" s="18">
        <f>IF(A320="","",SUMIF(Leads!$P$2:$P$501,A320,Leads!$R$2:$R$501))</f>
        <v/>
      </c>
      <c r="L320" s="18">
        <f>IF(A320="","",IF(I320&gt;=3,Settings!$B$6,0))</f>
        <v/>
      </c>
      <c r="M320" s="18">
        <f>IF(A320="","",J320+L320)</f>
        <v/>
      </c>
      <c r="N320" s="18" t="n"/>
      <c r="O320" s="18">
        <f>IF(A320="","",M320-N320)</f>
        <v/>
      </c>
      <c r="P320" s="17" t="n"/>
    </row>
    <row r="321">
      <c r="A321" s="17" t="n"/>
      <c r="B321" s="17" t="n"/>
      <c r="C321" s="17" t="n"/>
      <c r="D321" s="17" t="n"/>
      <c r="E321" s="17" t="n"/>
      <c r="F321" s="16" t="n"/>
      <c r="G321" s="17" t="n"/>
      <c r="H321" s="17">
        <f>IF(A321="","",COUNTIF(Leads!$P$2:$P$501,A321))</f>
        <v/>
      </c>
      <c r="I321" s="17">
        <f>IF(A321="","",COUNTIFS(Leads!$P$2:$P$501,A321,Leads!$I$2:$I$501,"Won",Leads!$N$2:$N$501,"&gt;="&amp;Settings!$B$7))</f>
        <v/>
      </c>
      <c r="J321" s="18">
        <f>IF(A321="","",SUMIF(Leads!$P$2:$P$501,A321,Leads!$Q$2:$Q$501))</f>
        <v/>
      </c>
      <c r="K321" s="18">
        <f>IF(A321="","",SUMIF(Leads!$P$2:$P$501,A321,Leads!$R$2:$R$501))</f>
        <v/>
      </c>
      <c r="L321" s="18">
        <f>IF(A321="","",IF(I321&gt;=3,Settings!$B$6,0))</f>
        <v/>
      </c>
      <c r="M321" s="18">
        <f>IF(A321="","",J321+L321)</f>
        <v/>
      </c>
      <c r="N321" s="18" t="n"/>
      <c r="O321" s="18">
        <f>IF(A321="","",M321-N321)</f>
        <v/>
      </c>
      <c r="P321" s="17" t="n"/>
    </row>
    <row r="322">
      <c r="A322" s="17" t="n"/>
      <c r="B322" s="17" t="n"/>
      <c r="C322" s="17" t="n"/>
      <c r="D322" s="17" t="n"/>
      <c r="E322" s="17" t="n"/>
      <c r="F322" s="16" t="n"/>
      <c r="G322" s="17" t="n"/>
      <c r="H322" s="17">
        <f>IF(A322="","",COUNTIF(Leads!$P$2:$P$501,A322))</f>
        <v/>
      </c>
      <c r="I322" s="17">
        <f>IF(A322="","",COUNTIFS(Leads!$P$2:$P$501,A322,Leads!$I$2:$I$501,"Won",Leads!$N$2:$N$501,"&gt;="&amp;Settings!$B$7))</f>
        <v/>
      </c>
      <c r="J322" s="18">
        <f>IF(A322="","",SUMIF(Leads!$P$2:$P$501,A322,Leads!$Q$2:$Q$501))</f>
        <v/>
      </c>
      <c r="K322" s="18">
        <f>IF(A322="","",SUMIF(Leads!$P$2:$P$501,A322,Leads!$R$2:$R$501))</f>
        <v/>
      </c>
      <c r="L322" s="18">
        <f>IF(A322="","",IF(I322&gt;=3,Settings!$B$6,0))</f>
        <v/>
      </c>
      <c r="M322" s="18">
        <f>IF(A322="","",J322+L322)</f>
        <v/>
      </c>
      <c r="N322" s="18" t="n"/>
      <c r="O322" s="18">
        <f>IF(A322="","",M322-N322)</f>
        <v/>
      </c>
      <c r="P322" s="17" t="n"/>
    </row>
    <row r="323">
      <c r="A323" s="17" t="n"/>
      <c r="B323" s="17" t="n"/>
      <c r="C323" s="17" t="n"/>
      <c r="D323" s="17" t="n"/>
      <c r="E323" s="17" t="n"/>
      <c r="F323" s="16" t="n"/>
      <c r="G323" s="17" t="n"/>
      <c r="H323" s="17">
        <f>IF(A323="","",COUNTIF(Leads!$P$2:$P$501,A323))</f>
        <v/>
      </c>
      <c r="I323" s="17">
        <f>IF(A323="","",COUNTIFS(Leads!$P$2:$P$501,A323,Leads!$I$2:$I$501,"Won",Leads!$N$2:$N$501,"&gt;="&amp;Settings!$B$7))</f>
        <v/>
      </c>
      <c r="J323" s="18">
        <f>IF(A323="","",SUMIF(Leads!$P$2:$P$501,A323,Leads!$Q$2:$Q$501))</f>
        <v/>
      </c>
      <c r="K323" s="18">
        <f>IF(A323="","",SUMIF(Leads!$P$2:$P$501,A323,Leads!$R$2:$R$501))</f>
        <v/>
      </c>
      <c r="L323" s="18">
        <f>IF(A323="","",IF(I323&gt;=3,Settings!$B$6,0))</f>
        <v/>
      </c>
      <c r="M323" s="18">
        <f>IF(A323="","",J323+L323)</f>
        <v/>
      </c>
      <c r="N323" s="18" t="n"/>
      <c r="O323" s="18">
        <f>IF(A323="","",M323-N323)</f>
        <v/>
      </c>
      <c r="P323" s="17" t="n"/>
    </row>
    <row r="324">
      <c r="A324" s="17" t="n"/>
      <c r="B324" s="17" t="n"/>
      <c r="C324" s="17" t="n"/>
      <c r="D324" s="17" t="n"/>
      <c r="E324" s="17" t="n"/>
      <c r="F324" s="16" t="n"/>
      <c r="G324" s="17" t="n"/>
      <c r="H324" s="17">
        <f>IF(A324="","",COUNTIF(Leads!$P$2:$P$501,A324))</f>
        <v/>
      </c>
      <c r="I324" s="17">
        <f>IF(A324="","",COUNTIFS(Leads!$P$2:$P$501,A324,Leads!$I$2:$I$501,"Won",Leads!$N$2:$N$501,"&gt;="&amp;Settings!$B$7))</f>
        <v/>
      </c>
      <c r="J324" s="18">
        <f>IF(A324="","",SUMIF(Leads!$P$2:$P$501,A324,Leads!$Q$2:$Q$501))</f>
        <v/>
      </c>
      <c r="K324" s="18">
        <f>IF(A324="","",SUMIF(Leads!$P$2:$P$501,A324,Leads!$R$2:$R$501))</f>
        <v/>
      </c>
      <c r="L324" s="18">
        <f>IF(A324="","",IF(I324&gt;=3,Settings!$B$6,0))</f>
        <v/>
      </c>
      <c r="M324" s="18">
        <f>IF(A324="","",J324+L324)</f>
        <v/>
      </c>
      <c r="N324" s="18" t="n"/>
      <c r="O324" s="18">
        <f>IF(A324="","",M324-N324)</f>
        <v/>
      </c>
      <c r="P324" s="17" t="n"/>
    </row>
    <row r="325">
      <c r="A325" s="17" t="n"/>
      <c r="B325" s="17" t="n"/>
      <c r="C325" s="17" t="n"/>
      <c r="D325" s="17" t="n"/>
      <c r="E325" s="17" t="n"/>
      <c r="F325" s="16" t="n"/>
      <c r="G325" s="17" t="n"/>
      <c r="H325" s="17">
        <f>IF(A325="","",COUNTIF(Leads!$P$2:$P$501,A325))</f>
        <v/>
      </c>
      <c r="I325" s="17">
        <f>IF(A325="","",COUNTIFS(Leads!$P$2:$P$501,A325,Leads!$I$2:$I$501,"Won",Leads!$N$2:$N$501,"&gt;="&amp;Settings!$B$7))</f>
        <v/>
      </c>
      <c r="J325" s="18">
        <f>IF(A325="","",SUMIF(Leads!$P$2:$P$501,A325,Leads!$Q$2:$Q$501))</f>
        <v/>
      </c>
      <c r="K325" s="18">
        <f>IF(A325="","",SUMIF(Leads!$P$2:$P$501,A325,Leads!$R$2:$R$501))</f>
        <v/>
      </c>
      <c r="L325" s="18">
        <f>IF(A325="","",IF(I325&gt;=3,Settings!$B$6,0))</f>
        <v/>
      </c>
      <c r="M325" s="18">
        <f>IF(A325="","",J325+L325)</f>
        <v/>
      </c>
      <c r="N325" s="18" t="n"/>
      <c r="O325" s="18">
        <f>IF(A325="","",M325-N325)</f>
        <v/>
      </c>
      <c r="P325" s="17" t="n"/>
    </row>
    <row r="326">
      <c r="A326" s="17" t="n"/>
      <c r="B326" s="17" t="n"/>
      <c r="C326" s="17" t="n"/>
      <c r="D326" s="17" t="n"/>
      <c r="E326" s="17" t="n"/>
      <c r="F326" s="16" t="n"/>
      <c r="G326" s="17" t="n"/>
      <c r="H326" s="17">
        <f>IF(A326="","",COUNTIF(Leads!$P$2:$P$501,A326))</f>
        <v/>
      </c>
      <c r="I326" s="17">
        <f>IF(A326="","",COUNTIFS(Leads!$P$2:$P$501,A326,Leads!$I$2:$I$501,"Won",Leads!$N$2:$N$501,"&gt;="&amp;Settings!$B$7))</f>
        <v/>
      </c>
      <c r="J326" s="18">
        <f>IF(A326="","",SUMIF(Leads!$P$2:$P$501,A326,Leads!$Q$2:$Q$501))</f>
        <v/>
      </c>
      <c r="K326" s="18">
        <f>IF(A326="","",SUMIF(Leads!$P$2:$P$501,A326,Leads!$R$2:$R$501))</f>
        <v/>
      </c>
      <c r="L326" s="18">
        <f>IF(A326="","",IF(I326&gt;=3,Settings!$B$6,0))</f>
        <v/>
      </c>
      <c r="M326" s="18">
        <f>IF(A326="","",J326+L326)</f>
        <v/>
      </c>
      <c r="N326" s="18" t="n"/>
      <c r="O326" s="18">
        <f>IF(A326="","",M326-N326)</f>
        <v/>
      </c>
      <c r="P326" s="17" t="n"/>
    </row>
    <row r="327">
      <c r="A327" s="17" t="n"/>
      <c r="B327" s="17" t="n"/>
      <c r="C327" s="17" t="n"/>
      <c r="D327" s="17" t="n"/>
      <c r="E327" s="17" t="n"/>
      <c r="F327" s="16" t="n"/>
      <c r="G327" s="17" t="n"/>
      <c r="H327" s="17">
        <f>IF(A327="","",COUNTIF(Leads!$P$2:$P$501,A327))</f>
        <v/>
      </c>
      <c r="I327" s="17">
        <f>IF(A327="","",COUNTIFS(Leads!$P$2:$P$501,A327,Leads!$I$2:$I$501,"Won",Leads!$N$2:$N$501,"&gt;="&amp;Settings!$B$7))</f>
        <v/>
      </c>
      <c r="J327" s="18">
        <f>IF(A327="","",SUMIF(Leads!$P$2:$P$501,A327,Leads!$Q$2:$Q$501))</f>
        <v/>
      </c>
      <c r="K327" s="18">
        <f>IF(A327="","",SUMIF(Leads!$P$2:$P$501,A327,Leads!$R$2:$R$501))</f>
        <v/>
      </c>
      <c r="L327" s="18">
        <f>IF(A327="","",IF(I327&gt;=3,Settings!$B$6,0))</f>
        <v/>
      </c>
      <c r="M327" s="18">
        <f>IF(A327="","",J327+L327)</f>
        <v/>
      </c>
      <c r="N327" s="18" t="n"/>
      <c r="O327" s="18">
        <f>IF(A327="","",M327-N327)</f>
        <v/>
      </c>
      <c r="P327" s="17" t="n"/>
    </row>
    <row r="328">
      <c r="A328" s="17" t="n"/>
      <c r="B328" s="17" t="n"/>
      <c r="C328" s="17" t="n"/>
      <c r="D328" s="17" t="n"/>
      <c r="E328" s="17" t="n"/>
      <c r="F328" s="16" t="n"/>
      <c r="G328" s="17" t="n"/>
      <c r="H328" s="17">
        <f>IF(A328="","",COUNTIF(Leads!$P$2:$P$501,A328))</f>
        <v/>
      </c>
      <c r="I328" s="17">
        <f>IF(A328="","",COUNTIFS(Leads!$P$2:$P$501,A328,Leads!$I$2:$I$501,"Won",Leads!$N$2:$N$501,"&gt;="&amp;Settings!$B$7))</f>
        <v/>
      </c>
      <c r="J328" s="18">
        <f>IF(A328="","",SUMIF(Leads!$P$2:$P$501,A328,Leads!$Q$2:$Q$501))</f>
        <v/>
      </c>
      <c r="K328" s="18">
        <f>IF(A328="","",SUMIF(Leads!$P$2:$P$501,A328,Leads!$R$2:$R$501))</f>
        <v/>
      </c>
      <c r="L328" s="18">
        <f>IF(A328="","",IF(I328&gt;=3,Settings!$B$6,0))</f>
        <v/>
      </c>
      <c r="M328" s="18">
        <f>IF(A328="","",J328+L328)</f>
        <v/>
      </c>
      <c r="N328" s="18" t="n"/>
      <c r="O328" s="18">
        <f>IF(A328="","",M328-N328)</f>
        <v/>
      </c>
      <c r="P328" s="17" t="n"/>
    </row>
    <row r="329">
      <c r="A329" s="17" t="n"/>
      <c r="B329" s="17" t="n"/>
      <c r="C329" s="17" t="n"/>
      <c r="D329" s="17" t="n"/>
      <c r="E329" s="17" t="n"/>
      <c r="F329" s="16" t="n"/>
      <c r="G329" s="17" t="n"/>
      <c r="H329" s="17">
        <f>IF(A329="","",COUNTIF(Leads!$P$2:$P$501,A329))</f>
        <v/>
      </c>
      <c r="I329" s="17">
        <f>IF(A329="","",COUNTIFS(Leads!$P$2:$P$501,A329,Leads!$I$2:$I$501,"Won",Leads!$N$2:$N$501,"&gt;="&amp;Settings!$B$7))</f>
        <v/>
      </c>
      <c r="J329" s="18">
        <f>IF(A329="","",SUMIF(Leads!$P$2:$P$501,A329,Leads!$Q$2:$Q$501))</f>
        <v/>
      </c>
      <c r="K329" s="18">
        <f>IF(A329="","",SUMIF(Leads!$P$2:$P$501,A329,Leads!$R$2:$R$501))</f>
        <v/>
      </c>
      <c r="L329" s="18">
        <f>IF(A329="","",IF(I329&gt;=3,Settings!$B$6,0))</f>
        <v/>
      </c>
      <c r="M329" s="18">
        <f>IF(A329="","",J329+L329)</f>
        <v/>
      </c>
      <c r="N329" s="18" t="n"/>
      <c r="O329" s="18">
        <f>IF(A329="","",M329-N329)</f>
        <v/>
      </c>
      <c r="P329" s="17" t="n"/>
    </row>
    <row r="330">
      <c r="A330" s="17" t="n"/>
      <c r="B330" s="17" t="n"/>
      <c r="C330" s="17" t="n"/>
      <c r="D330" s="17" t="n"/>
      <c r="E330" s="17" t="n"/>
      <c r="F330" s="16" t="n"/>
      <c r="G330" s="17" t="n"/>
      <c r="H330" s="17">
        <f>IF(A330="","",COUNTIF(Leads!$P$2:$P$501,A330))</f>
        <v/>
      </c>
      <c r="I330" s="17">
        <f>IF(A330="","",COUNTIFS(Leads!$P$2:$P$501,A330,Leads!$I$2:$I$501,"Won",Leads!$N$2:$N$501,"&gt;="&amp;Settings!$B$7))</f>
        <v/>
      </c>
      <c r="J330" s="18">
        <f>IF(A330="","",SUMIF(Leads!$P$2:$P$501,A330,Leads!$Q$2:$Q$501))</f>
        <v/>
      </c>
      <c r="K330" s="18">
        <f>IF(A330="","",SUMIF(Leads!$P$2:$P$501,A330,Leads!$R$2:$R$501))</f>
        <v/>
      </c>
      <c r="L330" s="18">
        <f>IF(A330="","",IF(I330&gt;=3,Settings!$B$6,0))</f>
        <v/>
      </c>
      <c r="M330" s="18">
        <f>IF(A330="","",J330+L330)</f>
        <v/>
      </c>
      <c r="N330" s="18" t="n"/>
      <c r="O330" s="18">
        <f>IF(A330="","",M330-N330)</f>
        <v/>
      </c>
      <c r="P330" s="17" t="n"/>
    </row>
    <row r="331">
      <c r="A331" s="17" t="n"/>
      <c r="B331" s="17" t="n"/>
      <c r="C331" s="17" t="n"/>
      <c r="D331" s="17" t="n"/>
      <c r="E331" s="17" t="n"/>
      <c r="F331" s="16" t="n"/>
      <c r="G331" s="17" t="n"/>
      <c r="H331" s="17">
        <f>IF(A331="","",COUNTIF(Leads!$P$2:$P$501,A331))</f>
        <v/>
      </c>
      <c r="I331" s="17">
        <f>IF(A331="","",COUNTIFS(Leads!$P$2:$P$501,A331,Leads!$I$2:$I$501,"Won",Leads!$N$2:$N$501,"&gt;="&amp;Settings!$B$7))</f>
        <v/>
      </c>
      <c r="J331" s="18">
        <f>IF(A331="","",SUMIF(Leads!$P$2:$P$501,A331,Leads!$Q$2:$Q$501))</f>
        <v/>
      </c>
      <c r="K331" s="18">
        <f>IF(A331="","",SUMIF(Leads!$P$2:$P$501,A331,Leads!$R$2:$R$501))</f>
        <v/>
      </c>
      <c r="L331" s="18">
        <f>IF(A331="","",IF(I331&gt;=3,Settings!$B$6,0))</f>
        <v/>
      </c>
      <c r="M331" s="18">
        <f>IF(A331="","",J331+L331)</f>
        <v/>
      </c>
      <c r="N331" s="18" t="n"/>
      <c r="O331" s="18">
        <f>IF(A331="","",M331-N331)</f>
        <v/>
      </c>
      <c r="P331" s="17" t="n"/>
    </row>
    <row r="332">
      <c r="A332" s="17" t="n"/>
      <c r="B332" s="17" t="n"/>
      <c r="C332" s="17" t="n"/>
      <c r="D332" s="17" t="n"/>
      <c r="E332" s="17" t="n"/>
      <c r="F332" s="16" t="n"/>
      <c r="G332" s="17" t="n"/>
      <c r="H332" s="17">
        <f>IF(A332="","",COUNTIF(Leads!$P$2:$P$501,A332))</f>
        <v/>
      </c>
      <c r="I332" s="17">
        <f>IF(A332="","",COUNTIFS(Leads!$P$2:$P$501,A332,Leads!$I$2:$I$501,"Won",Leads!$N$2:$N$501,"&gt;="&amp;Settings!$B$7))</f>
        <v/>
      </c>
      <c r="J332" s="18">
        <f>IF(A332="","",SUMIF(Leads!$P$2:$P$501,A332,Leads!$Q$2:$Q$501))</f>
        <v/>
      </c>
      <c r="K332" s="18">
        <f>IF(A332="","",SUMIF(Leads!$P$2:$P$501,A332,Leads!$R$2:$R$501))</f>
        <v/>
      </c>
      <c r="L332" s="18">
        <f>IF(A332="","",IF(I332&gt;=3,Settings!$B$6,0))</f>
        <v/>
      </c>
      <c r="M332" s="18">
        <f>IF(A332="","",J332+L332)</f>
        <v/>
      </c>
      <c r="N332" s="18" t="n"/>
      <c r="O332" s="18">
        <f>IF(A332="","",M332-N332)</f>
        <v/>
      </c>
      <c r="P332" s="17" t="n"/>
    </row>
    <row r="333">
      <c r="A333" s="17" t="n"/>
      <c r="B333" s="17" t="n"/>
      <c r="C333" s="17" t="n"/>
      <c r="D333" s="17" t="n"/>
      <c r="E333" s="17" t="n"/>
      <c r="F333" s="16" t="n"/>
      <c r="G333" s="17" t="n"/>
      <c r="H333" s="17">
        <f>IF(A333="","",COUNTIF(Leads!$P$2:$P$501,A333))</f>
        <v/>
      </c>
      <c r="I333" s="17">
        <f>IF(A333="","",COUNTIFS(Leads!$P$2:$P$501,A333,Leads!$I$2:$I$501,"Won",Leads!$N$2:$N$501,"&gt;="&amp;Settings!$B$7))</f>
        <v/>
      </c>
      <c r="J333" s="18">
        <f>IF(A333="","",SUMIF(Leads!$P$2:$P$501,A333,Leads!$Q$2:$Q$501))</f>
        <v/>
      </c>
      <c r="K333" s="18">
        <f>IF(A333="","",SUMIF(Leads!$P$2:$P$501,A333,Leads!$R$2:$R$501))</f>
        <v/>
      </c>
      <c r="L333" s="18">
        <f>IF(A333="","",IF(I333&gt;=3,Settings!$B$6,0))</f>
        <v/>
      </c>
      <c r="M333" s="18">
        <f>IF(A333="","",J333+L333)</f>
        <v/>
      </c>
      <c r="N333" s="18" t="n"/>
      <c r="O333" s="18">
        <f>IF(A333="","",M333-N333)</f>
        <v/>
      </c>
      <c r="P333" s="17" t="n"/>
    </row>
    <row r="334">
      <c r="A334" s="17" t="n"/>
      <c r="B334" s="17" t="n"/>
      <c r="C334" s="17" t="n"/>
      <c r="D334" s="17" t="n"/>
      <c r="E334" s="17" t="n"/>
      <c r="F334" s="16" t="n"/>
      <c r="G334" s="17" t="n"/>
      <c r="H334" s="17">
        <f>IF(A334="","",COUNTIF(Leads!$P$2:$P$501,A334))</f>
        <v/>
      </c>
      <c r="I334" s="17">
        <f>IF(A334="","",COUNTIFS(Leads!$P$2:$P$501,A334,Leads!$I$2:$I$501,"Won",Leads!$N$2:$N$501,"&gt;="&amp;Settings!$B$7))</f>
        <v/>
      </c>
      <c r="J334" s="18">
        <f>IF(A334="","",SUMIF(Leads!$P$2:$P$501,A334,Leads!$Q$2:$Q$501))</f>
        <v/>
      </c>
      <c r="K334" s="18">
        <f>IF(A334="","",SUMIF(Leads!$P$2:$P$501,A334,Leads!$R$2:$R$501))</f>
        <v/>
      </c>
      <c r="L334" s="18">
        <f>IF(A334="","",IF(I334&gt;=3,Settings!$B$6,0))</f>
        <v/>
      </c>
      <c r="M334" s="18">
        <f>IF(A334="","",J334+L334)</f>
        <v/>
      </c>
      <c r="N334" s="18" t="n"/>
      <c r="O334" s="18">
        <f>IF(A334="","",M334-N334)</f>
        <v/>
      </c>
      <c r="P334" s="17" t="n"/>
    </row>
    <row r="335">
      <c r="A335" s="17" t="n"/>
      <c r="B335" s="17" t="n"/>
      <c r="C335" s="17" t="n"/>
      <c r="D335" s="17" t="n"/>
      <c r="E335" s="17" t="n"/>
      <c r="F335" s="16" t="n"/>
      <c r="G335" s="17" t="n"/>
      <c r="H335" s="17">
        <f>IF(A335="","",COUNTIF(Leads!$P$2:$P$501,A335))</f>
        <v/>
      </c>
      <c r="I335" s="17">
        <f>IF(A335="","",COUNTIFS(Leads!$P$2:$P$501,A335,Leads!$I$2:$I$501,"Won",Leads!$N$2:$N$501,"&gt;="&amp;Settings!$B$7))</f>
        <v/>
      </c>
      <c r="J335" s="18">
        <f>IF(A335="","",SUMIF(Leads!$P$2:$P$501,A335,Leads!$Q$2:$Q$501))</f>
        <v/>
      </c>
      <c r="K335" s="18">
        <f>IF(A335="","",SUMIF(Leads!$P$2:$P$501,A335,Leads!$R$2:$R$501))</f>
        <v/>
      </c>
      <c r="L335" s="18">
        <f>IF(A335="","",IF(I335&gt;=3,Settings!$B$6,0))</f>
        <v/>
      </c>
      <c r="M335" s="18">
        <f>IF(A335="","",J335+L335)</f>
        <v/>
      </c>
      <c r="N335" s="18" t="n"/>
      <c r="O335" s="18">
        <f>IF(A335="","",M335-N335)</f>
        <v/>
      </c>
      <c r="P335" s="17" t="n"/>
    </row>
    <row r="336">
      <c r="A336" s="17" t="n"/>
      <c r="B336" s="17" t="n"/>
      <c r="C336" s="17" t="n"/>
      <c r="D336" s="17" t="n"/>
      <c r="E336" s="17" t="n"/>
      <c r="F336" s="16" t="n"/>
      <c r="G336" s="17" t="n"/>
      <c r="H336" s="17">
        <f>IF(A336="","",COUNTIF(Leads!$P$2:$P$501,A336))</f>
        <v/>
      </c>
      <c r="I336" s="17">
        <f>IF(A336="","",COUNTIFS(Leads!$P$2:$P$501,A336,Leads!$I$2:$I$501,"Won",Leads!$N$2:$N$501,"&gt;="&amp;Settings!$B$7))</f>
        <v/>
      </c>
      <c r="J336" s="18">
        <f>IF(A336="","",SUMIF(Leads!$P$2:$P$501,A336,Leads!$Q$2:$Q$501))</f>
        <v/>
      </c>
      <c r="K336" s="18">
        <f>IF(A336="","",SUMIF(Leads!$P$2:$P$501,A336,Leads!$R$2:$R$501))</f>
        <v/>
      </c>
      <c r="L336" s="18">
        <f>IF(A336="","",IF(I336&gt;=3,Settings!$B$6,0))</f>
        <v/>
      </c>
      <c r="M336" s="18">
        <f>IF(A336="","",J336+L336)</f>
        <v/>
      </c>
      <c r="N336" s="18" t="n"/>
      <c r="O336" s="18">
        <f>IF(A336="","",M336-N336)</f>
        <v/>
      </c>
      <c r="P336" s="17" t="n"/>
    </row>
    <row r="337">
      <c r="A337" s="17" t="n"/>
      <c r="B337" s="17" t="n"/>
      <c r="C337" s="17" t="n"/>
      <c r="D337" s="17" t="n"/>
      <c r="E337" s="17" t="n"/>
      <c r="F337" s="16" t="n"/>
      <c r="G337" s="17" t="n"/>
      <c r="H337" s="17">
        <f>IF(A337="","",COUNTIF(Leads!$P$2:$P$501,A337))</f>
        <v/>
      </c>
      <c r="I337" s="17">
        <f>IF(A337="","",COUNTIFS(Leads!$P$2:$P$501,A337,Leads!$I$2:$I$501,"Won",Leads!$N$2:$N$501,"&gt;="&amp;Settings!$B$7))</f>
        <v/>
      </c>
      <c r="J337" s="18">
        <f>IF(A337="","",SUMIF(Leads!$P$2:$P$501,A337,Leads!$Q$2:$Q$501))</f>
        <v/>
      </c>
      <c r="K337" s="18">
        <f>IF(A337="","",SUMIF(Leads!$P$2:$P$501,A337,Leads!$R$2:$R$501))</f>
        <v/>
      </c>
      <c r="L337" s="18">
        <f>IF(A337="","",IF(I337&gt;=3,Settings!$B$6,0))</f>
        <v/>
      </c>
      <c r="M337" s="18">
        <f>IF(A337="","",J337+L337)</f>
        <v/>
      </c>
      <c r="N337" s="18" t="n"/>
      <c r="O337" s="18">
        <f>IF(A337="","",M337-N337)</f>
        <v/>
      </c>
      <c r="P337" s="17" t="n"/>
    </row>
    <row r="338">
      <c r="A338" s="17" t="n"/>
      <c r="B338" s="17" t="n"/>
      <c r="C338" s="17" t="n"/>
      <c r="D338" s="17" t="n"/>
      <c r="E338" s="17" t="n"/>
      <c r="F338" s="16" t="n"/>
      <c r="G338" s="17" t="n"/>
      <c r="H338" s="17">
        <f>IF(A338="","",COUNTIF(Leads!$P$2:$P$501,A338))</f>
        <v/>
      </c>
      <c r="I338" s="17">
        <f>IF(A338="","",COUNTIFS(Leads!$P$2:$P$501,A338,Leads!$I$2:$I$501,"Won",Leads!$N$2:$N$501,"&gt;="&amp;Settings!$B$7))</f>
        <v/>
      </c>
      <c r="J338" s="18">
        <f>IF(A338="","",SUMIF(Leads!$P$2:$P$501,A338,Leads!$Q$2:$Q$501))</f>
        <v/>
      </c>
      <c r="K338" s="18">
        <f>IF(A338="","",SUMIF(Leads!$P$2:$P$501,A338,Leads!$R$2:$R$501))</f>
        <v/>
      </c>
      <c r="L338" s="18">
        <f>IF(A338="","",IF(I338&gt;=3,Settings!$B$6,0))</f>
        <v/>
      </c>
      <c r="M338" s="18">
        <f>IF(A338="","",J338+L338)</f>
        <v/>
      </c>
      <c r="N338" s="18" t="n"/>
      <c r="O338" s="18">
        <f>IF(A338="","",M338-N338)</f>
        <v/>
      </c>
      <c r="P338" s="17" t="n"/>
    </row>
    <row r="339">
      <c r="A339" s="17" t="n"/>
      <c r="B339" s="17" t="n"/>
      <c r="C339" s="17" t="n"/>
      <c r="D339" s="17" t="n"/>
      <c r="E339" s="17" t="n"/>
      <c r="F339" s="16" t="n"/>
      <c r="G339" s="17" t="n"/>
      <c r="H339" s="17">
        <f>IF(A339="","",COUNTIF(Leads!$P$2:$P$501,A339))</f>
        <v/>
      </c>
      <c r="I339" s="17">
        <f>IF(A339="","",COUNTIFS(Leads!$P$2:$P$501,A339,Leads!$I$2:$I$501,"Won",Leads!$N$2:$N$501,"&gt;="&amp;Settings!$B$7))</f>
        <v/>
      </c>
      <c r="J339" s="18">
        <f>IF(A339="","",SUMIF(Leads!$P$2:$P$501,A339,Leads!$Q$2:$Q$501))</f>
        <v/>
      </c>
      <c r="K339" s="18">
        <f>IF(A339="","",SUMIF(Leads!$P$2:$P$501,A339,Leads!$R$2:$R$501))</f>
        <v/>
      </c>
      <c r="L339" s="18">
        <f>IF(A339="","",IF(I339&gt;=3,Settings!$B$6,0))</f>
        <v/>
      </c>
      <c r="M339" s="18">
        <f>IF(A339="","",J339+L339)</f>
        <v/>
      </c>
      <c r="N339" s="18" t="n"/>
      <c r="O339" s="18">
        <f>IF(A339="","",M339-N339)</f>
        <v/>
      </c>
      <c r="P339" s="17" t="n"/>
    </row>
    <row r="340">
      <c r="A340" s="17" t="n"/>
      <c r="B340" s="17" t="n"/>
      <c r="C340" s="17" t="n"/>
      <c r="D340" s="17" t="n"/>
      <c r="E340" s="17" t="n"/>
      <c r="F340" s="16" t="n"/>
      <c r="G340" s="17" t="n"/>
      <c r="H340" s="17">
        <f>IF(A340="","",COUNTIF(Leads!$P$2:$P$501,A340))</f>
        <v/>
      </c>
      <c r="I340" s="17">
        <f>IF(A340="","",COUNTIFS(Leads!$P$2:$P$501,A340,Leads!$I$2:$I$501,"Won",Leads!$N$2:$N$501,"&gt;="&amp;Settings!$B$7))</f>
        <v/>
      </c>
      <c r="J340" s="18">
        <f>IF(A340="","",SUMIF(Leads!$P$2:$P$501,A340,Leads!$Q$2:$Q$501))</f>
        <v/>
      </c>
      <c r="K340" s="18">
        <f>IF(A340="","",SUMIF(Leads!$P$2:$P$501,A340,Leads!$R$2:$R$501))</f>
        <v/>
      </c>
      <c r="L340" s="18">
        <f>IF(A340="","",IF(I340&gt;=3,Settings!$B$6,0))</f>
        <v/>
      </c>
      <c r="M340" s="18">
        <f>IF(A340="","",J340+L340)</f>
        <v/>
      </c>
      <c r="N340" s="18" t="n"/>
      <c r="O340" s="18">
        <f>IF(A340="","",M340-N340)</f>
        <v/>
      </c>
      <c r="P340" s="17" t="n"/>
    </row>
    <row r="341">
      <c r="A341" s="17" t="n"/>
      <c r="B341" s="17" t="n"/>
      <c r="C341" s="17" t="n"/>
      <c r="D341" s="17" t="n"/>
      <c r="E341" s="17" t="n"/>
      <c r="F341" s="16" t="n"/>
      <c r="G341" s="17" t="n"/>
      <c r="H341" s="17">
        <f>IF(A341="","",COUNTIF(Leads!$P$2:$P$501,A341))</f>
        <v/>
      </c>
      <c r="I341" s="17">
        <f>IF(A341="","",COUNTIFS(Leads!$P$2:$P$501,A341,Leads!$I$2:$I$501,"Won",Leads!$N$2:$N$501,"&gt;="&amp;Settings!$B$7))</f>
        <v/>
      </c>
      <c r="J341" s="18">
        <f>IF(A341="","",SUMIF(Leads!$P$2:$P$501,A341,Leads!$Q$2:$Q$501))</f>
        <v/>
      </c>
      <c r="K341" s="18">
        <f>IF(A341="","",SUMIF(Leads!$P$2:$P$501,A341,Leads!$R$2:$R$501))</f>
        <v/>
      </c>
      <c r="L341" s="18">
        <f>IF(A341="","",IF(I341&gt;=3,Settings!$B$6,0))</f>
        <v/>
      </c>
      <c r="M341" s="18">
        <f>IF(A341="","",J341+L341)</f>
        <v/>
      </c>
      <c r="N341" s="18" t="n"/>
      <c r="O341" s="18">
        <f>IF(A341="","",M341-N341)</f>
        <v/>
      </c>
      <c r="P341" s="17" t="n"/>
    </row>
    <row r="342">
      <c r="A342" s="17" t="n"/>
      <c r="B342" s="17" t="n"/>
      <c r="C342" s="17" t="n"/>
      <c r="D342" s="17" t="n"/>
      <c r="E342" s="17" t="n"/>
      <c r="F342" s="16" t="n"/>
      <c r="G342" s="17" t="n"/>
      <c r="H342" s="17">
        <f>IF(A342="","",COUNTIF(Leads!$P$2:$P$501,A342))</f>
        <v/>
      </c>
      <c r="I342" s="17">
        <f>IF(A342="","",COUNTIFS(Leads!$P$2:$P$501,A342,Leads!$I$2:$I$501,"Won",Leads!$N$2:$N$501,"&gt;="&amp;Settings!$B$7))</f>
        <v/>
      </c>
      <c r="J342" s="18">
        <f>IF(A342="","",SUMIF(Leads!$P$2:$P$501,A342,Leads!$Q$2:$Q$501))</f>
        <v/>
      </c>
      <c r="K342" s="18">
        <f>IF(A342="","",SUMIF(Leads!$P$2:$P$501,A342,Leads!$R$2:$R$501))</f>
        <v/>
      </c>
      <c r="L342" s="18">
        <f>IF(A342="","",IF(I342&gt;=3,Settings!$B$6,0))</f>
        <v/>
      </c>
      <c r="M342" s="18">
        <f>IF(A342="","",J342+L342)</f>
        <v/>
      </c>
      <c r="N342" s="18" t="n"/>
      <c r="O342" s="18">
        <f>IF(A342="","",M342-N342)</f>
        <v/>
      </c>
      <c r="P342" s="17" t="n"/>
    </row>
    <row r="343">
      <c r="A343" s="17" t="n"/>
      <c r="B343" s="17" t="n"/>
      <c r="C343" s="17" t="n"/>
      <c r="D343" s="17" t="n"/>
      <c r="E343" s="17" t="n"/>
      <c r="F343" s="16" t="n"/>
      <c r="G343" s="17" t="n"/>
      <c r="H343" s="17">
        <f>IF(A343="","",COUNTIF(Leads!$P$2:$P$501,A343))</f>
        <v/>
      </c>
      <c r="I343" s="17">
        <f>IF(A343="","",COUNTIFS(Leads!$P$2:$P$501,A343,Leads!$I$2:$I$501,"Won",Leads!$N$2:$N$501,"&gt;="&amp;Settings!$B$7))</f>
        <v/>
      </c>
      <c r="J343" s="18">
        <f>IF(A343="","",SUMIF(Leads!$P$2:$P$501,A343,Leads!$Q$2:$Q$501))</f>
        <v/>
      </c>
      <c r="K343" s="18">
        <f>IF(A343="","",SUMIF(Leads!$P$2:$P$501,A343,Leads!$R$2:$R$501))</f>
        <v/>
      </c>
      <c r="L343" s="18">
        <f>IF(A343="","",IF(I343&gt;=3,Settings!$B$6,0))</f>
        <v/>
      </c>
      <c r="M343" s="18">
        <f>IF(A343="","",J343+L343)</f>
        <v/>
      </c>
      <c r="N343" s="18" t="n"/>
      <c r="O343" s="18">
        <f>IF(A343="","",M343-N343)</f>
        <v/>
      </c>
      <c r="P343" s="17" t="n"/>
    </row>
    <row r="344">
      <c r="A344" s="17" t="n"/>
      <c r="B344" s="17" t="n"/>
      <c r="C344" s="17" t="n"/>
      <c r="D344" s="17" t="n"/>
      <c r="E344" s="17" t="n"/>
      <c r="F344" s="16" t="n"/>
      <c r="G344" s="17" t="n"/>
      <c r="H344" s="17">
        <f>IF(A344="","",COUNTIF(Leads!$P$2:$P$501,A344))</f>
        <v/>
      </c>
      <c r="I344" s="17">
        <f>IF(A344="","",COUNTIFS(Leads!$P$2:$P$501,A344,Leads!$I$2:$I$501,"Won",Leads!$N$2:$N$501,"&gt;="&amp;Settings!$B$7))</f>
        <v/>
      </c>
      <c r="J344" s="18">
        <f>IF(A344="","",SUMIF(Leads!$P$2:$P$501,A344,Leads!$Q$2:$Q$501))</f>
        <v/>
      </c>
      <c r="K344" s="18">
        <f>IF(A344="","",SUMIF(Leads!$P$2:$P$501,A344,Leads!$R$2:$R$501))</f>
        <v/>
      </c>
      <c r="L344" s="18">
        <f>IF(A344="","",IF(I344&gt;=3,Settings!$B$6,0))</f>
        <v/>
      </c>
      <c r="M344" s="18">
        <f>IF(A344="","",J344+L344)</f>
        <v/>
      </c>
      <c r="N344" s="18" t="n"/>
      <c r="O344" s="18">
        <f>IF(A344="","",M344-N344)</f>
        <v/>
      </c>
      <c r="P344" s="17" t="n"/>
    </row>
    <row r="345">
      <c r="A345" s="17" t="n"/>
      <c r="B345" s="17" t="n"/>
      <c r="C345" s="17" t="n"/>
      <c r="D345" s="17" t="n"/>
      <c r="E345" s="17" t="n"/>
      <c r="F345" s="16" t="n"/>
      <c r="G345" s="17" t="n"/>
      <c r="H345" s="17">
        <f>IF(A345="","",COUNTIF(Leads!$P$2:$P$501,A345))</f>
        <v/>
      </c>
      <c r="I345" s="17">
        <f>IF(A345="","",COUNTIFS(Leads!$P$2:$P$501,A345,Leads!$I$2:$I$501,"Won",Leads!$N$2:$N$501,"&gt;="&amp;Settings!$B$7))</f>
        <v/>
      </c>
      <c r="J345" s="18">
        <f>IF(A345="","",SUMIF(Leads!$P$2:$P$501,A345,Leads!$Q$2:$Q$501))</f>
        <v/>
      </c>
      <c r="K345" s="18">
        <f>IF(A345="","",SUMIF(Leads!$P$2:$P$501,A345,Leads!$R$2:$R$501))</f>
        <v/>
      </c>
      <c r="L345" s="18">
        <f>IF(A345="","",IF(I345&gt;=3,Settings!$B$6,0))</f>
        <v/>
      </c>
      <c r="M345" s="18">
        <f>IF(A345="","",J345+L345)</f>
        <v/>
      </c>
      <c r="N345" s="18" t="n"/>
      <c r="O345" s="18">
        <f>IF(A345="","",M345-N345)</f>
        <v/>
      </c>
      <c r="P345" s="17" t="n"/>
    </row>
    <row r="346">
      <c r="A346" s="17" t="n"/>
      <c r="B346" s="17" t="n"/>
      <c r="C346" s="17" t="n"/>
      <c r="D346" s="17" t="n"/>
      <c r="E346" s="17" t="n"/>
      <c r="F346" s="16" t="n"/>
      <c r="G346" s="17" t="n"/>
      <c r="H346" s="17">
        <f>IF(A346="","",COUNTIF(Leads!$P$2:$P$501,A346))</f>
        <v/>
      </c>
      <c r="I346" s="17">
        <f>IF(A346="","",COUNTIFS(Leads!$P$2:$P$501,A346,Leads!$I$2:$I$501,"Won",Leads!$N$2:$N$501,"&gt;="&amp;Settings!$B$7))</f>
        <v/>
      </c>
      <c r="J346" s="18">
        <f>IF(A346="","",SUMIF(Leads!$P$2:$P$501,A346,Leads!$Q$2:$Q$501))</f>
        <v/>
      </c>
      <c r="K346" s="18">
        <f>IF(A346="","",SUMIF(Leads!$P$2:$P$501,A346,Leads!$R$2:$R$501))</f>
        <v/>
      </c>
      <c r="L346" s="18">
        <f>IF(A346="","",IF(I346&gt;=3,Settings!$B$6,0))</f>
        <v/>
      </c>
      <c r="M346" s="18">
        <f>IF(A346="","",J346+L346)</f>
        <v/>
      </c>
      <c r="N346" s="18" t="n"/>
      <c r="O346" s="18">
        <f>IF(A346="","",M346-N346)</f>
        <v/>
      </c>
      <c r="P346" s="17" t="n"/>
    </row>
    <row r="347">
      <c r="A347" s="17" t="n"/>
      <c r="B347" s="17" t="n"/>
      <c r="C347" s="17" t="n"/>
      <c r="D347" s="17" t="n"/>
      <c r="E347" s="17" t="n"/>
      <c r="F347" s="16" t="n"/>
      <c r="G347" s="17" t="n"/>
      <c r="H347" s="17">
        <f>IF(A347="","",COUNTIF(Leads!$P$2:$P$501,A347))</f>
        <v/>
      </c>
      <c r="I347" s="17">
        <f>IF(A347="","",COUNTIFS(Leads!$P$2:$P$501,A347,Leads!$I$2:$I$501,"Won",Leads!$N$2:$N$501,"&gt;="&amp;Settings!$B$7))</f>
        <v/>
      </c>
      <c r="J347" s="18">
        <f>IF(A347="","",SUMIF(Leads!$P$2:$P$501,A347,Leads!$Q$2:$Q$501))</f>
        <v/>
      </c>
      <c r="K347" s="18">
        <f>IF(A347="","",SUMIF(Leads!$P$2:$P$501,A347,Leads!$R$2:$R$501))</f>
        <v/>
      </c>
      <c r="L347" s="18">
        <f>IF(A347="","",IF(I347&gt;=3,Settings!$B$6,0))</f>
        <v/>
      </c>
      <c r="M347" s="18">
        <f>IF(A347="","",J347+L347)</f>
        <v/>
      </c>
      <c r="N347" s="18" t="n"/>
      <c r="O347" s="18">
        <f>IF(A347="","",M347-N347)</f>
        <v/>
      </c>
      <c r="P347" s="17" t="n"/>
    </row>
    <row r="348">
      <c r="A348" s="17" t="n"/>
      <c r="B348" s="17" t="n"/>
      <c r="C348" s="17" t="n"/>
      <c r="D348" s="17" t="n"/>
      <c r="E348" s="17" t="n"/>
      <c r="F348" s="16" t="n"/>
      <c r="G348" s="17" t="n"/>
      <c r="H348" s="17">
        <f>IF(A348="","",COUNTIF(Leads!$P$2:$P$501,A348))</f>
        <v/>
      </c>
      <c r="I348" s="17">
        <f>IF(A348="","",COUNTIFS(Leads!$P$2:$P$501,A348,Leads!$I$2:$I$501,"Won",Leads!$N$2:$N$501,"&gt;="&amp;Settings!$B$7))</f>
        <v/>
      </c>
      <c r="J348" s="18">
        <f>IF(A348="","",SUMIF(Leads!$P$2:$P$501,A348,Leads!$Q$2:$Q$501))</f>
        <v/>
      </c>
      <c r="K348" s="18">
        <f>IF(A348="","",SUMIF(Leads!$P$2:$P$501,A348,Leads!$R$2:$R$501))</f>
        <v/>
      </c>
      <c r="L348" s="18">
        <f>IF(A348="","",IF(I348&gt;=3,Settings!$B$6,0))</f>
        <v/>
      </c>
      <c r="M348" s="18">
        <f>IF(A348="","",J348+L348)</f>
        <v/>
      </c>
      <c r="N348" s="18" t="n"/>
      <c r="O348" s="18">
        <f>IF(A348="","",M348-N348)</f>
        <v/>
      </c>
      <c r="P348" s="17" t="n"/>
    </row>
    <row r="349">
      <c r="A349" s="17" t="n"/>
      <c r="B349" s="17" t="n"/>
      <c r="C349" s="17" t="n"/>
      <c r="D349" s="17" t="n"/>
      <c r="E349" s="17" t="n"/>
      <c r="F349" s="16" t="n"/>
      <c r="G349" s="17" t="n"/>
      <c r="H349" s="17">
        <f>IF(A349="","",COUNTIF(Leads!$P$2:$P$501,A349))</f>
        <v/>
      </c>
      <c r="I349" s="17">
        <f>IF(A349="","",COUNTIFS(Leads!$P$2:$P$501,A349,Leads!$I$2:$I$501,"Won",Leads!$N$2:$N$501,"&gt;="&amp;Settings!$B$7))</f>
        <v/>
      </c>
      <c r="J349" s="18">
        <f>IF(A349="","",SUMIF(Leads!$P$2:$P$501,A349,Leads!$Q$2:$Q$501))</f>
        <v/>
      </c>
      <c r="K349" s="18">
        <f>IF(A349="","",SUMIF(Leads!$P$2:$P$501,A349,Leads!$R$2:$R$501))</f>
        <v/>
      </c>
      <c r="L349" s="18">
        <f>IF(A349="","",IF(I349&gt;=3,Settings!$B$6,0))</f>
        <v/>
      </c>
      <c r="M349" s="18">
        <f>IF(A349="","",J349+L349)</f>
        <v/>
      </c>
      <c r="N349" s="18" t="n"/>
      <c r="O349" s="18">
        <f>IF(A349="","",M349-N349)</f>
        <v/>
      </c>
      <c r="P349" s="17" t="n"/>
    </row>
    <row r="350">
      <c r="A350" s="17" t="n"/>
      <c r="B350" s="17" t="n"/>
      <c r="C350" s="17" t="n"/>
      <c r="D350" s="17" t="n"/>
      <c r="E350" s="17" t="n"/>
      <c r="F350" s="16" t="n"/>
      <c r="G350" s="17" t="n"/>
      <c r="H350" s="17">
        <f>IF(A350="","",COUNTIF(Leads!$P$2:$P$501,A350))</f>
        <v/>
      </c>
      <c r="I350" s="17">
        <f>IF(A350="","",COUNTIFS(Leads!$P$2:$P$501,A350,Leads!$I$2:$I$501,"Won",Leads!$N$2:$N$501,"&gt;="&amp;Settings!$B$7))</f>
        <v/>
      </c>
      <c r="J350" s="18">
        <f>IF(A350="","",SUMIF(Leads!$P$2:$P$501,A350,Leads!$Q$2:$Q$501))</f>
        <v/>
      </c>
      <c r="K350" s="18">
        <f>IF(A350="","",SUMIF(Leads!$P$2:$P$501,A350,Leads!$R$2:$R$501))</f>
        <v/>
      </c>
      <c r="L350" s="18">
        <f>IF(A350="","",IF(I350&gt;=3,Settings!$B$6,0))</f>
        <v/>
      </c>
      <c r="M350" s="18">
        <f>IF(A350="","",J350+L350)</f>
        <v/>
      </c>
      <c r="N350" s="18" t="n"/>
      <c r="O350" s="18">
        <f>IF(A350="","",M350-N350)</f>
        <v/>
      </c>
      <c r="P350" s="17" t="n"/>
    </row>
    <row r="351">
      <c r="A351" s="17" t="n"/>
      <c r="B351" s="17" t="n"/>
      <c r="C351" s="17" t="n"/>
      <c r="D351" s="17" t="n"/>
      <c r="E351" s="17" t="n"/>
      <c r="F351" s="16" t="n"/>
      <c r="G351" s="17" t="n"/>
      <c r="H351" s="17">
        <f>IF(A351="","",COUNTIF(Leads!$P$2:$P$501,A351))</f>
        <v/>
      </c>
      <c r="I351" s="17">
        <f>IF(A351="","",COUNTIFS(Leads!$P$2:$P$501,A351,Leads!$I$2:$I$501,"Won",Leads!$N$2:$N$501,"&gt;="&amp;Settings!$B$7))</f>
        <v/>
      </c>
      <c r="J351" s="18">
        <f>IF(A351="","",SUMIF(Leads!$P$2:$P$501,A351,Leads!$Q$2:$Q$501))</f>
        <v/>
      </c>
      <c r="K351" s="18">
        <f>IF(A351="","",SUMIF(Leads!$P$2:$P$501,A351,Leads!$R$2:$R$501))</f>
        <v/>
      </c>
      <c r="L351" s="18">
        <f>IF(A351="","",IF(I351&gt;=3,Settings!$B$6,0))</f>
        <v/>
      </c>
      <c r="M351" s="18">
        <f>IF(A351="","",J351+L351)</f>
        <v/>
      </c>
      <c r="N351" s="18" t="n"/>
      <c r="O351" s="18">
        <f>IF(A351="","",M351-N351)</f>
        <v/>
      </c>
      <c r="P351" s="17" t="n"/>
    </row>
    <row r="352">
      <c r="A352" s="17" t="n"/>
      <c r="B352" s="17" t="n"/>
      <c r="C352" s="17" t="n"/>
      <c r="D352" s="17" t="n"/>
      <c r="E352" s="17" t="n"/>
      <c r="F352" s="16" t="n"/>
      <c r="G352" s="17" t="n"/>
      <c r="H352" s="17">
        <f>IF(A352="","",COUNTIF(Leads!$P$2:$P$501,A352))</f>
        <v/>
      </c>
      <c r="I352" s="17">
        <f>IF(A352="","",COUNTIFS(Leads!$P$2:$P$501,A352,Leads!$I$2:$I$501,"Won",Leads!$N$2:$N$501,"&gt;="&amp;Settings!$B$7))</f>
        <v/>
      </c>
      <c r="J352" s="18">
        <f>IF(A352="","",SUMIF(Leads!$P$2:$P$501,A352,Leads!$Q$2:$Q$501))</f>
        <v/>
      </c>
      <c r="K352" s="18">
        <f>IF(A352="","",SUMIF(Leads!$P$2:$P$501,A352,Leads!$R$2:$R$501))</f>
        <v/>
      </c>
      <c r="L352" s="18">
        <f>IF(A352="","",IF(I352&gt;=3,Settings!$B$6,0))</f>
        <v/>
      </c>
      <c r="M352" s="18">
        <f>IF(A352="","",J352+L352)</f>
        <v/>
      </c>
      <c r="N352" s="18" t="n"/>
      <c r="O352" s="18">
        <f>IF(A352="","",M352-N352)</f>
        <v/>
      </c>
      <c r="P352" s="17" t="n"/>
    </row>
    <row r="353">
      <c r="A353" s="17" t="n"/>
      <c r="B353" s="17" t="n"/>
      <c r="C353" s="17" t="n"/>
      <c r="D353" s="17" t="n"/>
      <c r="E353" s="17" t="n"/>
      <c r="F353" s="16" t="n"/>
      <c r="G353" s="17" t="n"/>
      <c r="H353" s="17">
        <f>IF(A353="","",COUNTIF(Leads!$P$2:$P$501,A353))</f>
        <v/>
      </c>
      <c r="I353" s="17">
        <f>IF(A353="","",COUNTIFS(Leads!$P$2:$P$501,A353,Leads!$I$2:$I$501,"Won",Leads!$N$2:$N$501,"&gt;="&amp;Settings!$B$7))</f>
        <v/>
      </c>
      <c r="J353" s="18">
        <f>IF(A353="","",SUMIF(Leads!$P$2:$P$501,A353,Leads!$Q$2:$Q$501))</f>
        <v/>
      </c>
      <c r="K353" s="18">
        <f>IF(A353="","",SUMIF(Leads!$P$2:$P$501,A353,Leads!$R$2:$R$501))</f>
        <v/>
      </c>
      <c r="L353" s="18">
        <f>IF(A353="","",IF(I353&gt;=3,Settings!$B$6,0))</f>
        <v/>
      </c>
      <c r="M353" s="18">
        <f>IF(A353="","",J353+L353)</f>
        <v/>
      </c>
      <c r="N353" s="18" t="n"/>
      <c r="O353" s="18">
        <f>IF(A353="","",M353-N353)</f>
        <v/>
      </c>
      <c r="P353" s="17" t="n"/>
    </row>
    <row r="354">
      <c r="A354" s="17" t="n"/>
      <c r="B354" s="17" t="n"/>
      <c r="C354" s="17" t="n"/>
      <c r="D354" s="17" t="n"/>
      <c r="E354" s="17" t="n"/>
      <c r="F354" s="16" t="n"/>
      <c r="G354" s="17" t="n"/>
      <c r="H354" s="17">
        <f>IF(A354="","",COUNTIF(Leads!$P$2:$P$501,A354))</f>
        <v/>
      </c>
      <c r="I354" s="17">
        <f>IF(A354="","",COUNTIFS(Leads!$P$2:$P$501,A354,Leads!$I$2:$I$501,"Won",Leads!$N$2:$N$501,"&gt;="&amp;Settings!$B$7))</f>
        <v/>
      </c>
      <c r="J354" s="18">
        <f>IF(A354="","",SUMIF(Leads!$P$2:$P$501,A354,Leads!$Q$2:$Q$501))</f>
        <v/>
      </c>
      <c r="K354" s="18">
        <f>IF(A354="","",SUMIF(Leads!$P$2:$P$501,A354,Leads!$R$2:$R$501))</f>
        <v/>
      </c>
      <c r="L354" s="18">
        <f>IF(A354="","",IF(I354&gt;=3,Settings!$B$6,0))</f>
        <v/>
      </c>
      <c r="M354" s="18">
        <f>IF(A354="","",J354+L354)</f>
        <v/>
      </c>
      <c r="N354" s="18" t="n"/>
      <c r="O354" s="18">
        <f>IF(A354="","",M354-N354)</f>
        <v/>
      </c>
      <c r="P354" s="17" t="n"/>
    </row>
    <row r="355">
      <c r="A355" s="17" t="n"/>
      <c r="B355" s="17" t="n"/>
      <c r="C355" s="17" t="n"/>
      <c r="D355" s="17" t="n"/>
      <c r="E355" s="17" t="n"/>
      <c r="F355" s="16" t="n"/>
      <c r="G355" s="17" t="n"/>
      <c r="H355" s="17">
        <f>IF(A355="","",COUNTIF(Leads!$P$2:$P$501,A355))</f>
        <v/>
      </c>
      <c r="I355" s="17">
        <f>IF(A355="","",COUNTIFS(Leads!$P$2:$P$501,A355,Leads!$I$2:$I$501,"Won",Leads!$N$2:$N$501,"&gt;="&amp;Settings!$B$7))</f>
        <v/>
      </c>
      <c r="J355" s="18">
        <f>IF(A355="","",SUMIF(Leads!$P$2:$P$501,A355,Leads!$Q$2:$Q$501))</f>
        <v/>
      </c>
      <c r="K355" s="18">
        <f>IF(A355="","",SUMIF(Leads!$P$2:$P$501,A355,Leads!$R$2:$R$501))</f>
        <v/>
      </c>
      <c r="L355" s="18">
        <f>IF(A355="","",IF(I355&gt;=3,Settings!$B$6,0))</f>
        <v/>
      </c>
      <c r="M355" s="18">
        <f>IF(A355="","",J355+L355)</f>
        <v/>
      </c>
      <c r="N355" s="18" t="n"/>
      <c r="O355" s="18">
        <f>IF(A355="","",M355-N355)</f>
        <v/>
      </c>
      <c r="P355" s="17" t="n"/>
    </row>
    <row r="356">
      <c r="A356" s="17" t="n"/>
      <c r="B356" s="17" t="n"/>
      <c r="C356" s="17" t="n"/>
      <c r="D356" s="17" t="n"/>
      <c r="E356" s="17" t="n"/>
      <c r="F356" s="16" t="n"/>
      <c r="G356" s="17" t="n"/>
      <c r="H356" s="17">
        <f>IF(A356="","",COUNTIF(Leads!$P$2:$P$501,A356))</f>
        <v/>
      </c>
      <c r="I356" s="17">
        <f>IF(A356="","",COUNTIFS(Leads!$P$2:$P$501,A356,Leads!$I$2:$I$501,"Won",Leads!$N$2:$N$501,"&gt;="&amp;Settings!$B$7))</f>
        <v/>
      </c>
      <c r="J356" s="18">
        <f>IF(A356="","",SUMIF(Leads!$P$2:$P$501,A356,Leads!$Q$2:$Q$501))</f>
        <v/>
      </c>
      <c r="K356" s="18">
        <f>IF(A356="","",SUMIF(Leads!$P$2:$P$501,A356,Leads!$R$2:$R$501))</f>
        <v/>
      </c>
      <c r="L356" s="18">
        <f>IF(A356="","",IF(I356&gt;=3,Settings!$B$6,0))</f>
        <v/>
      </c>
      <c r="M356" s="18">
        <f>IF(A356="","",J356+L356)</f>
        <v/>
      </c>
      <c r="N356" s="18" t="n"/>
      <c r="O356" s="18">
        <f>IF(A356="","",M356-N356)</f>
        <v/>
      </c>
      <c r="P356" s="17" t="n"/>
    </row>
    <row r="357">
      <c r="A357" s="17" t="n"/>
      <c r="B357" s="17" t="n"/>
      <c r="C357" s="17" t="n"/>
      <c r="D357" s="17" t="n"/>
      <c r="E357" s="17" t="n"/>
      <c r="F357" s="16" t="n"/>
      <c r="G357" s="17" t="n"/>
      <c r="H357" s="17">
        <f>IF(A357="","",COUNTIF(Leads!$P$2:$P$501,A357))</f>
        <v/>
      </c>
      <c r="I357" s="17">
        <f>IF(A357="","",COUNTIFS(Leads!$P$2:$P$501,A357,Leads!$I$2:$I$501,"Won",Leads!$N$2:$N$501,"&gt;="&amp;Settings!$B$7))</f>
        <v/>
      </c>
      <c r="J357" s="18">
        <f>IF(A357="","",SUMIF(Leads!$P$2:$P$501,A357,Leads!$Q$2:$Q$501))</f>
        <v/>
      </c>
      <c r="K357" s="18">
        <f>IF(A357="","",SUMIF(Leads!$P$2:$P$501,A357,Leads!$R$2:$R$501))</f>
        <v/>
      </c>
      <c r="L357" s="18">
        <f>IF(A357="","",IF(I357&gt;=3,Settings!$B$6,0))</f>
        <v/>
      </c>
      <c r="M357" s="18">
        <f>IF(A357="","",J357+L357)</f>
        <v/>
      </c>
      <c r="N357" s="18" t="n"/>
      <c r="O357" s="18">
        <f>IF(A357="","",M357-N357)</f>
        <v/>
      </c>
      <c r="P357" s="17" t="n"/>
    </row>
    <row r="358">
      <c r="A358" s="17" t="n"/>
      <c r="B358" s="17" t="n"/>
      <c r="C358" s="17" t="n"/>
      <c r="D358" s="17" t="n"/>
      <c r="E358" s="17" t="n"/>
      <c r="F358" s="16" t="n"/>
      <c r="G358" s="17" t="n"/>
      <c r="H358" s="17">
        <f>IF(A358="","",COUNTIF(Leads!$P$2:$P$501,A358))</f>
        <v/>
      </c>
      <c r="I358" s="17">
        <f>IF(A358="","",COUNTIFS(Leads!$P$2:$P$501,A358,Leads!$I$2:$I$501,"Won",Leads!$N$2:$N$501,"&gt;="&amp;Settings!$B$7))</f>
        <v/>
      </c>
      <c r="J358" s="18">
        <f>IF(A358="","",SUMIF(Leads!$P$2:$P$501,A358,Leads!$Q$2:$Q$501))</f>
        <v/>
      </c>
      <c r="K358" s="18">
        <f>IF(A358="","",SUMIF(Leads!$P$2:$P$501,A358,Leads!$R$2:$R$501))</f>
        <v/>
      </c>
      <c r="L358" s="18">
        <f>IF(A358="","",IF(I358&gt;=3,Settings!$B$6,0))</f>
        <v/>
      </c>
      <c r="M358" s="18">
        <f>IF(A358="","",J358+L358)</f>
        <v/>
      </c>
      <c r="N358" s="18" t="n"/>
      <c r="O358" s="18">
        <f>IF(A358="","",M358-N358)</f>
        <v/>
      </c>
      <c r="P358" s="17" t="n"/>
    </row>
    <row r="359">
      <c r="A359" s="17" t="n"/>
      <c r="B359" s="17" t="n"/>
      <c r="C359" s="17" t="n"/>
      <c r="D359" s="17" t="n"/>
      <c r="E359" s="17" t="n"/>
      <c r="F359" s="16" t="n"/>
      <c r="G359" s="17" t="n"/>
      <c r="H359" s="17">
        <f>IF(A359="","",COUNTIF(Leads!$P$2:$P$501,A359))</f>
        <v/>
      </c>
      <c r="I359" s="17">
        <f>IF(A359="","",COUNTIFS(Leads!$P$2:$P$501,A359,Leads!$I$2:$I$501,"Won",Leads!$N$2:$N$501,"&gt;="&amp;Settings!$B$7))</f>
        <v/>
      </c>
      <c r="J359" s="18">
        <f>IF(A359="","",SUMIF(Leads!$P$2:$P$501,A359,Leads!$Q$2:$Q$501))</f>
        <v/>
      </c>
      <c r="K359" s="18">
        <f>IF(A359="","",SUMIF(Leads!$P$2:$P$501,A359,Leads!$R$2:$R$501))</f>
        <v/>
      </c>
      <c r="L359" s="18">
        <f>IF(A359="","",IF(I359&gt;=3,Settings!$B$6,0))</f>
        <v/>
      </c>
      <c r="M359" s="18">
        <f>IF(A359="","",J359+L359)</f>
        <v/>
      </c>
      <c r="N359" s="18" t="n"/>
      <c r="O359" s="18">
        <f>IF(A359="","",M359-N359)</f>
        <v/>
      </c>
      <c r="P359" s="17" t="n"/>
    </row>
    <row r="360">
      <c r="A360" s="17" t="n"/>
      <c r="B360" s="17" t="n"/>
      <c r="C360" s="17" t="n"/>
      <c r="D360" s="17" t="n"/>
      <c r="E360" s="17" t="n"/>
      <c r="F360" s="16" t="n"/>
      <c r="G360" s="17" t="n"/>
      <c r="H360" s="17">
        <f>IF(A360="","",COUNTIF(Leads!$P$2:$P$501,A360))</f>
        <v/>
      </c>
      <c r="I360" s="17">
        <f>IF(A360="","",COUNTIFS(Leads!$P$2:$P$501,A360,Leads!$I$2:$I$501,"Won",Leads!$N$2:$N$501,"&gt;="&amp;Settings!$B$7))</f>
        <v/>
      </c>
      <c r="J360" s="18">
        <f>IF(A360="","",SUMIF(Leads!$P$2:$P$501,A360,Leads!$Q$2:$Q$501))</f>
        <v/>
      </c>
      <c r="K360" s="18">
        <f>IF(A360="","",SUMIF(Leads!$P$2:$P$501,A360,Leads!$R$2:$R$501))</f>
        <v/>
      </c>
      <c r="L360" s="18">
        <f>IF(A360="","",IF(I360&gt;=3,Settings!$B$6,0))</f>
        <v/>
      </c>
      <c r="M360" s="18">
        <f>IF(A360="","",J360+L360)</f>
        <v/>
      </c>
      <c r="N360" s="18" t="n"/>
      <c r="O360" s="18">
        <f>IF(A360="","",M360-N360)</f>
        <v/>
      </c>
      <c r="P360" s="17" t="n"/>
    </row>
    <row r="361">
      <c r="A361" s="17" t="n"/>
      <c r="B361" s="17" t="n"/>
      <c r="C361" s="17" t="n"/>
      <c r="D361" s="17" t="n"/>
      <c r="E361" s="17" t="n"/>
      <c r="F361" s="16" t="n"/>
      <c r="G361" s="17" t="n"/>
      <c r="H361" s="17">
        <f>IF(A361="","",COUNTIF(Leads!$P$2:$P$501,A361))</f>
        <v/>
      </c>
      <c r="I361" s="17">
        <f>IF(A361="","",COUNTIFS(Leads!$P$2:$P$501,A361,Leads!$I$2:$I$501,"Won",Leads!$N$2:$N$501,"&gt;="&amp;Settings!$B$7))</f>
        <v/>
      </c>
      <c r="J361" s="18">
        <f>IF(A361="","",SUMIF(Leads!$P$2:$P$501,A361,Leads!$Q$2:$Q$501))</f>
        <v/>
      </c>
      <c r="K361" s="18">
        <f>IF(A361="","",SUMIF(Leads!$P$2:$P$501,A361,Leads!$R$2:$R$501))</f>
        <v/>
      </c>
      <c r="L361" s="18">
        <f>IF(A361="","",IF(I361&gt;=3,Settings!$B$6,0))</f>
        <v/>
      </c>
      <c r="M361" s="18">
        <f>IF(A361="","",J361+L361)</f>
        <v/>
      </c>
      <c r="N361" s="18" t="n"/>
      <c r="O361" s="18">
        <f>IF(A361="","",M361-N361)</f>
        <v/>
      </c>
      <c r="P361" s="17" t="n"/>
    </row>
    <row r="362">
      <c r="A362" s="17" t="n"/>
      <c r="B362" s="17" t="n"/>
      <c r="C362" s="17" t="n"/>
      <c r="D362" s="17" t="n"/>
      <c r="E362" s="17" t="n"/>
      <c r="F362" s="16" t="n"/>
      <c r="G362" s="17" t="n"/>
      <c r="H362" s="17">
        <f>IF(A362="","",COUNTIF(Leads!$P$2:$P$501,A362))</f>
        <v/>
      </c>
      <c r="I362" s="17">
        <f>IF(A362="","",COUNTIFS(Leads!$P$2:$P$501,A362,Leads!$I$2:$I$501,"Won",Leads!$N$2:$N$501,"&gt;="&amp;Settings!$B$7))</f>
        <v/>
      </c>
      <c r="J362" s="18">
        <f>IF(A362="","",SUMIF(Leads!$P$2:$P$501,A362,Leads!$Q$2:$Q$501))</f>
        <v/>
      </c>
      <c r="K362" s="18">
        <f>IF(A362="","",SUMIF(Leads!$P$2:$P$501,A362,Leads!$R$2:$R$501))</f>
        <v/>
      </c>
      <c r="L362" s="18">
        <f>IF(A362="","",IF(I362&gt;=3,Settings!$B$6,0))</f>
        <v/>
      </c>
      <c r="M362" s="18">
        <f>IF(A362="","",J362+L362)</f>
        <v/>
      </c>
      <c r="N362" s="18" t="n"/>
      <c r="O362" s="18">
        <f>IF(A362="","",M362-N362)</f>
        <v/>
      </c>
      <c r="P362" s="17" t="n"/>
    </row>
    <row r="363">
      <c r="A363" s="17" t="n"/>
      <c r="B363" s="17" t="n"/>
      <c r="C363" s="17" t="n"/>
      <c r="D363" s="17" t="n"/>
      <c r="E363" s="17" t="n"/>
      <c r="F363" s="16" t="n"/>
      <c r="G363" s="17" t="n"/>
      <c r="H363" s="17">
        <f>IF(A363="","",COUNTIF(Leads!$P$2:$P$501,A363))</f>
        <v/>
      </c>
      <c r="I363" s="17">
        <f>IF(A363="","",COUNTIFS(Leads!$P$2:$P$501,A363,Leads!$I$2:$I$501,"Won",Leads!$N$2:$N$501,"&gt;="&amp;Settings!$B$7))</f>
        <v/>
      </c>
      <c r="J363" s="18">
        <f>IF(A363="","",SUMIF(Leads!$P$2:$P$501,A363,Leads!$Q$2:$Q$501))</f>
        <v/>
      </c>
      <c r="K363" s="18">
        <f>IF(A363="","",SUMIF(Leads!$P$2:$P$501,A363,Leads!$R$2:$R$501))</f>
        <v/>
      </c>
      <c r="L363" s="18">
        <f>IF(A363="","",IF(I363&gt;=3,Settings!$B$6,0))</f>
        <v/>
      </c>
      <c r="M363" s="18">
        <f>IF(A363="","",J363+L363)</f>
        <v/>
      </c>
      <c r="N363" s="18" t="n"/>
      <c r="O363" s="18">
        <f>IF(A363="","",M363-N363)</f>
        <v/>
      </c>
      <c r="P363" s="17" t="n"/>
    </row>
    <row r="364">
      <c r="A364" s="17" t="n"/>
      <c r="B364" s="17" t="n"/>
      <c r="C364" s="17" t="n"/>
      <c r="D364" s="17" t="n"/>
      <c r="E364" s="17" t="n"/>
      <c r="F364" s="16" t="n"/>
      <c r="G364" s="17" t="n"/>
      <c r="H364" s="17">
        <f>IF(A364="","",COUNTIF(Leads!$P$2:$P$501,A364))</f>
        <v/>
      </c>
      <c r="I364" s="17">
        <f>IF(A364="","",COUNTIFS(Leads!$P$2:$P$501,A364,Leads!$I$2:$I$501,"Won",Leads!$N$2:$N$501,"&gt;="&amp;Settings!$B$7))</f>
        <v/>
      </c>
      <c r="J364" s="18">
        <f>IF(A364="","",SUMIF(Leads!$P$2:$P$501,A364,Leads!$Q$2:$Q$501))</f>
        <v/>
      </c>
      <c r="K364" s="18">
        <f>IF(A364="","",SUMIF(Leads!$P$2:$P$501,A364,Leads!$R$2:$R$501))</f>
        <v/>
      </c>
      <c r="L364" s="18">
        <f>IF(A364="","",IF(I364&gt;=3,Settings!$B$6,0))</f>
        <v/>
      </c>
      <c r="M364" s="18">
        <f>IF(A364="","",J364+L364)</f>
        <v/>
      </c>
      <c r="N364" s="18" t="n"/>
      <c r="O364" s="18">
        <f>IF(A364="","",M364-N364)</f>
        <v/>
      </c>
      <c r="P364" s="17" t="n"/>
    </row>
    <row r="365">
      <c r="A365" s="17" t="n"/>
      <c r="B365" s="17" t="n"/>
      <c r="C365" s="17" t="n"/>
      <c r="D365" s="17" t="n"/>
      <c r="E365" s="17" t="n"/>
      <c r="F365" s="16" t="n"/>
      <c r="G365" s="17" t="n"/>
      <c r="H365" s="17">
        <f>IF(A365="","",COUNTIF(Leads!$P$2:$P$501,A365))</f>
        <v/>
      </c>
      <c r="I365" s="17">
        <f>IF(A365="","",COUNTIFS(Leads!$P$2:$P$501,A365,Leads!$I$2:$I$501,"Won",Leads!$N$2:$N$501,"&gt;="&amp;Settings!$B$7))</f>
        <v/>
      </c>
      <c r="J365" s="18">
        <f>IF(A365="","",SUMIF(Leads!$P$2:$P$501,A365,Leads!$Q$2:$Q$501))</f>
        <v/>
      </c>
      <c r="K365" s="18">
        <f>IF(A365="","",SUMIF(Leads!$P$2:$P$501,A365,Leads!$R$2:$R$501))</f>
        <v/>
      </c>
      <c r="L365" s="18">
        <f>IF(A365="","",IF(I365&gt;=3,Settings!$B$6,0))</f>
        <v/>
      </c>
      <c r="M365" s="18">
        <f>IF(A365="","",J365+L365)</f>
        <v/>
      </c>
      <c r="N365" s="18" t="n"/>
      <c r="O365" s="18">
        <f>IF(A365="","",M365-N365)</f>
        <v/>
      </c>
      <c r="P365" s="17" t="n"/>
    </row>
    <row r="366">
      <c r="A366" s="17" t="n"/>
      <c r="B366" s="17" t="n"/>
      <c r="C366" s="17" t="n"/>
      <c r="D366" s="17" t="n"/>
      <c r="E366" s="17" t="n"/>
      <c r="F366" s="16" t="n"/>
      <c r="G366" s="17" t="n"/>
      <c r="H366" s="17">
        <f>IF(A366="","",COUNTIF(Leads!$P$2:$P$501,A366))</f>
        <v/>
      </c>
      <c r="I366" s="17">
        <f>IF(A366="","",COUNTIFS(Leads!$P$2:$P$501,A366,Leads!$I$2:$I$501,"Won",Leads!$N$2:$N$501,"&gt;="&amp;Settings!$B$7))</f>
        <v/>
      </c>
      <c r="J366" s="18">
        <f>IF(A366="","",SUMIF(Leads!$P$2:$P$501,A366,Leads!$Q$2:$Q$501))</f>
        <v/>
      </c>
      <c r="K366" s="18">
        <f>IF(A366="","",SUMIF(Leads!$P$2:$P$501,A366,Leads!$R$2:$R$501))</f>
        <v/>
      </c>
      <c r="L366" s="18">
        <f>IF(A366="","",IF(I366&gt;=3,Settings!$B$6,0))</f>
        <v/>
      </c>
      <c r="M366" s="18">
        <f>IF(A366="","",J366+L366)</f>
        <v/>
      </c>
      <c r="N366" s="18" t="n"/>
      <c r="O366" s="18">
        <f>IF(A366="","",M366-N366)</f>
        <v/>
      </c>
      <c r="P366" s="17" t="n"/>
    </row>
    <row r="367">
      <c r="A367" s="17" t="n"/>
      <c r="B367" s="17" t="n"/>
      <c r="C367" s="17" t="n"/>
      <c r="D367" s="17" t="n"/>
      <c r="E367" s="17" t="n"/>
      <c r="F367" s="16" t="n"/>
      <c r="G367" s="17" t="n"/>
      <c r="H367" s="17">
        <f>IF(A367="","",COUNTIF(Leads!$P$2:$P$501,A367))</f>
        <v/>
      </c>
      <c r="I367" s="17">
        <f>IF(A367="","",COUNTIFS(Leads!$P$2:$P$501,A367,Leads!$I$2:$I$501,"Won",Leads!$N$2:$N$501,"&gt;="&amp;Settings!$B$7))</f>
        <v/>
      </c>
      <c r="J367" s="18">
        <f>IF(A367="","",SUMIF(Leads!$P$2:$P$501,A367,Leads!$Q$2:$Q$501))</f>
        <v/>
      </c>
      <c r="K367" s="18">
        <f>IF(A367="","",SUMIF(Leads!$P$2:$P$501,A367,Leads!$R$2:$R$501))</f>
        <v/>
      </c>
      <c r="L367" s="18">
        <f>IF(A367="","",IF(I367&gt;=3,Settings!$B$6,0))</f>
        <v/>
      </c>
      <c r="M367" s="18">
        <f>IF(A367="","",J367+L367)</f>
        <v/>
      </c>
      <c r="N367" s="18" t="n"/>
      <c r="O367" s="18">
        <f>IF(A367="","",M367-N367)</f>
        <v/>
      </c>
      <c r="P367" s="17" t="n"/>
    </row>
    <row r="368">
      <c r="A368" s="17" t="n"/>
      <c r="B368" s="17" t="n"/>
      <c r="C368" s="17" t="n"/>
      <c r="D368" s="17" t="n"/>
      <c r="E368" s="17" t="n"/>
      <c r="F368" s="16" t="n"/>
      <c r="G368" s="17" t="n"/>
      <c r="H368" s="17">
        <f>IF(A368="","",COUNTIF(Leads!$P$2:$P$501,A368))</f>
        <v/>
      </c>
      <c r="I368" s="17">
        <f>IF(A368="","",COUNTIFS(Leads!$P$2:$P$501,A368,Leads!$I$2:$I$501,"Won",Leads!$N$2:$N$501,"&gt;="&amp;Settings!$B$7))</f>
        <v/>
      </c>
      <c r="J368" s="18">
        <f>IF(A368="","",SUMIF(Leads!$P$2:$P$501,A368,Leads!$Q$2:$Q$501))</f>
        <v/>
      </c>
      <c r="K368" s="18">
        <f>IF(A368="","",SUMIF(Leads!$P$2:$P$501,A368,Leads!$R$2:$R$501))</f>
        <v/>
      </c>
      <c r="L368" s="18">
        <f>IF(A368="","",IF(I368&gt;=3,Settings!$B$6,0))</f>
        <v/>
      </c>
      <c r="M368" s="18">
        <f>IF(A368="","",J368+L368)</f>
        <v/>
      </c>
      <c r="N368" s="18" t="n"/>
      <c r="O368" s="18">
        <f>IF(A368="","",M368-N368)</f>
        <v/>
      </c>
      <c r="P368" s="17" t="n"/>
    </row>
    <row r="369">
      <c r="A369" s="17" t="n"/>
      <c r="B369" s="17" t="n"/>
      <c r="C369" s="17" t="n"/>
      <c r="D369" s="17" t="n"/>
      <c r="E369" s="17" t="n"/>
      <c r="F369" s="16" t="n"/>
      <c r="G369" s="17" t="n"/>
      <c r="H369" s="17">
        <f>IF(A369="","",COUNTIF(Leads!$P$2:$P$501,A369))</f>
        <v/>
      </c>
      <c r="I369" s="17">
        <f>IF(A369="","",COUNTIFS(Leads!$P$2:$P$501,A369,Leads!$I$2:$I$501,"Won",Leads!$N$2:$N$501,"&gt;="&amp;Settings!$B$7))</f>
        <v/>
      </c>
      <c r="J369" s="18">
        <f>IF(A369="","",SUMIF(Leads!$P$2:$P$501,A369,Leads!$Q$2:$Q$501))</f>
        <v/>
      </c>
      <c r="K369" s="18">
        <f>IF(A369="","",SUMIF(Leads!$P$2:$P$501,A369,Leads!$R$2:$R$501))</f>
        <v/>
      </c>
      <c r="L369" s="18">
        <f>IF(A369="","",IF(I369&gt;=3,Settings!$B$6,0))</f>
        <v/>
      </c>
      <c r="M369" s="18">
        <f>IF(A369="","",J369+L369)</f>
        <v/>
      </c>
      <c r="N369" s="18" t="n"/>
      <c r="O369" s="18">
        <f>IF(A369="","",M369-N369)</f>
        <v/>
      </c>
      <c r="P369" s="17" t="n"/>
    </row>
    <row r="370">
      <c r="A370" s="17" t="n"/>
      <c r="B370" s="17" t="n"/>
      <c r="C370" s="17" t="n"/>
      <c r="D370" s="17" t="n"/>
      <c r="E370" s="17" t="n"/>
      <c r="F370" s="16" t="n"/>
      <c r="G370" s="17" t="n"/>
      <c r="H370" s="17">
        <f>IF(A370="","",COUNTIF(Leads!$P$2:$P$501,A370))</f>
        <v/>
      </c>
      <c r="I370" s="17">
        <f>IF(A370="","",COUNTIFS(Leads!$P$2:$P$501,A370,Leads!$I$2:$I$501,"Won",Leads!$N$2:$N$501,"&gt;="&amp;Settings!$B$7))</f>
        <v/>
      </c>
      <c r="J370" s="18">
        <f>IF(A370="","",SUMIF(Leads!$P$2:$P$501,A370,Leads!$Q$2:$Q$501))</f>
        <v/>
      </c>
      <c r="K370" s="18">
        <f>IF(A370="","",SUMIF(Leads!$P$2:$P$501,A370,Leads!$R$2:$R$501))</f>
        <v/>
      </c>
      <c r="L370" s="18">
        <f>IF(A370="","",IF(I370&gt;=3,Settings!$B$6,0))</f>
        <v/>
      </c>
      <c r="M370" s="18">
        <f>IF(A370="","",J370+L370)</f>
        <v/>
      </c>
      <c r="N370" s="18" t="n"/>
      <c r="O370" s="18">
        <f>IF(A370="","",M370-N370)</f>
        <v/>
      </c>
      <c r="P370" s="17" t="n"/>
    </row>
    <row r="371">
      <c r="A371" s="17" t="n"/>
      <c r="B371" s="17" t="n"/>
      <c r="C371" s="17" t="n"/>
      <c r="D371" s="17" t="n"/>
      <c r="E371" s="17" t="n"/>
      <c r="F371" s="16" t="n"/>
      <c r="G371" s="17" t="n"/>
      <c r="H371" s="17">
        <f>IF(A371="","",COUNTIF(Leads!$P$2:$P$501,A371))</f>
        <v/>
      </c>
      <c r="I371" s="17">
        <f>IF(A371="","",COUNTIFS(Leads!$P$2:$P$501,A371,Leads!$I$2:$I$501,"Won",Leads!$N$2:$N$501,"&gt;="&amp;Settings!$B$7))</f>
        <v/>
      </c>
      <c r="J371" s="18">
        <f>IF(A371="","",SUMIF(Leads!$P$2:$P$501,A371,Leads!$Q$2:$Q$501))</f>
        <v/>
      </c>
      <c r="K371" s="18">
        <f>IF(A371="","",SUMIF(Leads!$P$2:$P$501,A371,Leads!$R$2:$R$501))</f>
        <v/>
      </c>
      <c r="L371" s="18">
        <f>IF(A371="","",IF(I371&gt;=3,Settings!$B$6,0))</f>
        <v/>
      </c>
      <c r="M371" s="18">
        <f>IF(A371="","",J371+L371)</f>
        <v/>
      </c>
      <c r="N371" s="18" t="n"/>
      <c r="O371" s="18">
        <f>IF(A371="","",M371-N371)</f>
        <v/>
      </c>
      <c r="P371" s="17" t="n"/>
    </row>
    <row r="372">
      <c r="A372" s="17" t="n"/>
      <c r="B372" s="17" t="n"/>
      <c r="C372" s="17" t="n"/>
      <c r="D372" s="17" t="n"/>
      <c r="E372" s="17" t="n"/>
      <c r="F372" s="16" t="n"/>
      <c r="G372" s="17" t="n"/>
      <c r="H372" s="17">
        <f>IF(A372="","",COUNTIF(Leads!$P$2:$P$501,A372))</f>
        <v/>
      </c>
      <c r="I372" s="17">
        <f>IF(A372="","",COUNTIFS(Leads!$P$2:$P$501,A372,Leads!$I$2:$I$501,"Won",Leads!$N$2:$N$501,"&gt;="&amp;Settings!$B$7))</f>
        <v/>
      </c>
      <c r="J372" s="18">
        <f>IF(A372="","",SUMIF(Leads!$P$2:$P$501,A372,Leads!$Q$2:$Q$501))</f>
        <v/>
      </c>
      <c r="K372" s="18">
        <f>IF(A372="","",SUMIF(Leads!$P$2:$P$501,A372,Leads!$R$2:$R$501))</f>
        <v/>
      </c>
      <c r="L372" s="18">
        <f>IF(A372="","",IF(I372&gt;=3,Settings!$B$6,0))</f>
        <v/>
      </c>
      <c r="M372" s="18">
        <f>IF(A372="","",J372+L372)</f>
        <v/>
      </c>
      <c r="N372" s="18" t="n"/>
      <c r="O372" s="18">
        <f>IF(A372="","",M372-N372)</f>
        <v/>
      </c>
      <c r="P372" s="17" t="n"/>
    </row>
    <row r="373">
      <c r="A373" s="17" t="n"/>
      <c r="B373" s="17" t="n"/>
      <c r="C373" s="17" t="n"/>
      <c r="D373" s="17" t="n"/>
      <c r="E373" s="17" t="n"/>
      <c r="F373" s="16" t="n"/>
      <c r="G373" s="17" t="n"/>
      <c r="H373" s="17">
        <f>IF(A373="","",COUNTIF(Leads!$P$2:$P$501,A373))</f>
        <v/>
      </c>
      <c r="I373" s="17">
        <f>IF(A373="","",COUNTIFS(Leads!$P$2:$P$501,A373,Leads!$I$2:$I$501,"Won",Leads!$N$2:$N$501,"&gt;="&amp;Settings!$B$7))</f>
        <v/>
      </c>
      <c r="J373" s="18">
        <f>IF(A373="","",SUMIF(Leads!$P$2:$P$501,A373,Leads!$Q$2:$Q$501))</f>
        <v/>
      </c>
      <c r="K373" s="18">
        <f>IF(A373="","",SUMIF(Leads!$P$2:$P$501,A373,Leads!$R$2:$R$501))</f>
        <v/>
      </c>
      <c r="L373" s="18">
        <f>IF(A373="","",IF(I373&gt;=3,Settings!$B$6,0))</f>
        <v/>
      </c>
      <c r="M373" s="18">
        <f>IF(A373="","",J373+L373)</f>
        <v/>
      </c>
      <c r="N373" s="18" t="n"/>
      <c r="O373" s="18">
        <f>IF(A373="","",M373-N373)</f>
        <v/>
      </c>
      <c r="P373" s="17" t="n"/>
    </row>
    <row r="374">
      <c r="A374" s="17" t="n"/>
      <c r="B374" s="17" t="n"/>
      <c r="C374" s="17" t="n"/>
      <c r="D374" s="17" t="n"/>
      <c r="E374" s="17" t="n"/>
      <c r="F374" s="16" t="n"/>
      <c r="G374" s="17" t="n"/>
      <c r="H374" s="17">
        <f>IF(A374="","",COUNTIF(Leads!$P$2:$P$501,A374))</f>
        <v/>
      </c>
      <c r="I374" s="17">
        <f>IF(A374="","",COUNTIFS(Leads!$P$2:$P$501,A374,Leads!$I$2:$I$501,"Won",Leads!$N$2:$N$501,"&gt;="&amp;Settings!$B$7))</f>
        <v/>
      </c>
      <c r="J374" s="18">
        <f>IF(A374="","",SUMIF(Leads!$P$2:$P$501,A374,Leads!$Q$2:$Q$501))</f>
        <v/>
      </c>
      <c r="K374" s="18">
        <f>IF(A374="","",SUMIF(Leads!$P$2:$P$501,A374,Leads!$R$2:$R$501))</f>
        <v/>
      </c>
      <c r="L374" s="18">
        <f>IF(A374="","",IF(I374&gt;=3,Settings!$B$6,0))</f>
        <v/>
      </c>
      <c r="M374" s="18">
        <f>IF(A374="","",J374+L374)</f>
        <v/>
      </c>
      <c r="N374" s="18" t="n"/>
      <c r="O374" s="18">
        <f>IF(A374="","",M374-N374)</f>
        <v/>
      </c>
      <c r="P374" s="17" t="n"/>
    </row>
    <row r="375">
      <c r="A375" s="17" t="n"/>
      <c r="B375" s="17" t="n"/>
      <c r="C375" s="17" t="n"/>
      <c r="D375" s="17" t="n"/>
      <c r="E375" s="17" t="n"/>
      <c r="F375" s="16" t="n"/>
      <c r="G375" s="17" t="n"/>
      <c r="H375" s="17">
        <f>IF(A375="","",COUNTIF(Leads!$P$2:$P$501,A375))</f>
        <v/>
      </c>
      <c r="I375" s="17">
        <f>IF(A375="","",COUNTIFS(Leads!$P$2:$P$501,A375,Leads!$I$2:$I$501,"Won",Leads!$N$2:$N$501,"&gt;="&amp;Settings!$B$7))</f>
        <v/>
      </c>
      <c r="J375" s="18">
        <f>IF(A375="","",SUMIF(Leads!$P$2:$P$501,A375,Leads!$Q$2:$Q$501))</f>
        <v/>
      </c>
      <c r="K375" s="18">
        <f>IF(A375="","",SUMIF(Leads!$P$2:$P$501,A375,Leads!$R$2:$R$501))</f>
        <v/>
      </c>
      <c r="L375" s="18">
        <f>IF(A375="","",IF(I375&gt;=3,Settings!$B$6,0))</f>
        <v/>
      </c>
      <c r="M375" s="18">
        <f>IF(A375="","",J375+L375)</f>
        <v/>
      </c>
      <c r="N375" s="18" t="n"/>
      <c r="O375" s="18">
        <f>IF(A375="","",M375-N375)</f>
        <v/>
      </c>
      <c r="P375" s="17" t="n"/>
    </row>
    <row r="376">
      <c r="A376" s="17" t="n"/>
      <c r="B376" s="17" t="n"/>
      <c r="C376" s="17" t="n"/>
      <c r="D376" s="17" t="n"/>
      <c r="E376" s="17" t="n"/>
      <c r="F376" s="16" t="n"/>
      <c r="G376" s="17" t="n"/>
      <c r="H376" s="17">
        <f>IF(A376="","",COUNTIF(Leads!$P$2:$P$501,A376))</f>
        <v/>
      </c>
      <c r="I376" s="17">
        <f>IF(A376="","",COUNTIFS(Leads!$P$2:$P$501,A376,Leads!$I$2:$I$501,"Won",Leads!$N$2:$N$501,"&gt;="&amp;Settings!$B$7))</f>
        <v/>
      </c>
      <c r="J376" s="18">
        <f>IF(A376="","",SUMIF(Leads!$P$2:$P$501,A376,Leads!$Q$2:$Q$501))</f>
        <v/>
      </c>
      <c r="K376" s="18">
        <f>IF(A376="","",SUMIF(Leads!$P$2:$P$501,A376,Leads!$R$2:$R$501))</f>
        <v/>
      </c>
      <c r="L376" s="18">
        <f>IF(A376="","",IF(I376&gt;=3,Settings!$B$6,0))</f>
        <v/>
      </c>
      <c r="M376" s="18">
        <f>IF(A376="","",J376+L376)</f>
        <v/>
      </c>
      <c r="N376" s="18" t="n"/>
      <c r="O376" s="18">
        <f>IF(A376="","",M376-N376)</f>
        <v/>
      </c>
      <c r="P376" s="17" t="n"/>
    </row>
    <row r="377">
      <c r="A377" s="17" t="n"/>
      <c r="B377" s="17" t="n"/>
      <c r="C377" s="17" t="n"/>
      <c r="D377" s="17" t="n"/>
      <c r="E377" s="17" t="n"/>
      <c r="F377" s="16" t="n"/>
      <c r="G377" s="17" t="n"/>
      <c r="H377" s="17">
        <f>IF(A377="","",COUNTIF(Leads!$P$2:$P$501,A377))</f>
        <v/>
      </c>
      <c r="I377" s="17">
        <f>IF(A377="","",COUNTIFS(Leads!$P$2:$P$501,A377,Leads!$I$2:$I$501,"Won",Leads!$N$2:$N$501,"&gt;="&amp;Settings!$B$7))</f>
        <v/>
      </c>
      <c r="J377" s="18">
        <f>IF(A377="","",SUMIF(Leads!$P$2:$P$501,A377,Leads!$Q$2:$Q$501))</f>
        <v/>
      </c>
      <c r="K377" s="18">
        <f>IF(A377="","",SUMIF(Leads!$P$2:$P$501,A377,Leads!$R$2:$R$501))</f>
        <v/>
      </c>
      <c r="L377" s="18">
        <f>IF(A377="","",IF(I377&gt;=3,Settings!$B$6,0))</f>
        <v/>
      </c>
      <c r="M377" s="18">
        <f>IF(A377="","",J377+L377)</f>
        <v/>
      </c>
      <c r="N377" s="18" t="n"/>
      <c r="O377" s="18">
        <f>IF(A377="","",M377-N377)</f>
        <v/>
      </c>
      <c r="P377" s="17" t="n"/>
    </row>
    <row r="378">
      <c r="A378" s="17" t="n"/>
      <c r="B378" s="17" t="n"/>
      <c r="C378" s="17" t="n"/>
      <c r="D378" s="17" t="n"/>
      <c r="E378" s="17" t="n"/>
      <c r="F378" s="16" t="n"/>
      <c r="G378" s="17" t="n"/>
      <c r="H378" s="17">
        <f>IF(A378="","",COUNTIF(Leads!$P$2:$P$501,A378))</f>
        <v/>
      </c>
      <c r="I378" s="17">
        <f>IF(A378="","",COUNTIFS(Leads!$P$2:$P$501,A378,Leads!$I$2:$I$501,"Won",Leads!$N$2:$N$501,"&gt;="&amp;Settings!$B$7))</f>
        <v/>
      </c>
      <c r="J378" s="18">
        <f>IF(A378="","",SUMIF(Leads!$P$2:$P$501,A378,Leads!$Q$2:$Q$501))</f>
        <v/>
      </c>
      <c r="K378" s="18">
        <f>IF(A378="","",SUMIF(Leads!$P$2:$P$501,A378,Leads!$R$2:$R$501))</f>
        <v/>
      </c>
      <c r="L378" s="18">
        <f>IF(A378="","",IF(I378&gt;=3,Settings!$B$6,0))</f>
        <v/>
      </c>
      <c r="M378" s="18">
        <f>IF(A378="","",J378+L378)</f>
        <v/>
      </c>
      <c r="N378" s="18" t="n"/>
      <c r="O378" s="18">
        <f>IF(A378="","",M378-N378)</f>
        <v/>
      </c>
      <c r="P378" s="17" t="n"/>
    </row>
    <row r="379">
      <c r="A379" s="17" t="n"/>
      <c r="B379" s="17" t="n"/>
      <c r="C379" s="17" t="n"/>
      <c r="D379" s="17" t="n"/>
      <c r="E379" s="17" t="n"/>
      <c r="F379" s="16" t="n"/>
      <c r="G379" s="17" t="n"/>
      <c r="H379" s="17">
        <f>IF(A379="","",COUNTIF(Leads!$P$2:$P$501,A379))</f>
        <v/>
      </c>
      <c r="I379" s="17">
        <f>IF(A379="","",COUNTIFS(Leads!$P$2:$P$501,A379,Leads!$I$2:$I$501,"Won",Leads!$N$2:$N$501,"&gt;="&amp;Settings!$B$7))</f>
        <v/>
      </c>
      <c r="J379" s="18">
        <f>IF(A379="","",SUMIF(Leads!$P$2:$P$501,A379,Leads!$Q$2:$Q$501))</f>
        <v/>
      </c>
      <c r="K379" s="18">
        <f>IF(A379="","",SUMIF(Leads!$P$2:$P$501,A379,Leads!$R$2:$R$501))</f>
        <v/>
      </c>
      <c r="L379" s="18">
        <f>IF(A379="","",IF(I379&gt;=3,Settings!$B$6,0))</f>
        <v/>
      </c>
      <c r="M379" s="18">
        <f>IF(A379="","",J379+L379)</f>
        <v/>
      </c>
      <c r="N379" s="18" t="n"/>
      <c r="O379" s="18">
        <f>IF(A379="","",M379-N379)</f>
        <v/>
      </c>
      <c r="P379" s="17" t="n"/>
    </row>
    <row r="380">
      <c r="A380" s="17" t="n"/>
      <c r="B380" s="17" t="n"/>
      <c r="C380" s="17" t="n"/>
      <c r="D380" s="17" t="n"/>
      <c r="E380" s="17" t="n"/>
      <c r="F380" s="16" t="n"/>
      <c r="G380" s="17" t="n"/>
      <c r="H380" s="17">
        <f>IF(A380="","",COUNTIF(Leads!$P$2:$P$501,A380))</f>
        <v/>
      </c>
      <c r="I380" s="17">
        <f>IF(A380="","",COUNTIFS(Leads!$P$2:$P$501,A380,Leads!$I$2:$I$501,"Won",Leads!$N$2:$N$501,"&gt;="&amp;Settings!$B$7))</f>
        <v/>
      </c>
      <c r="J380" s="18">
        <f>IF(A380="","",SUMIF(Leads!$P$2:$P$501,A380,Leads!$Q$2:$Q$501))</f>
        <v/>
      </c>
      <c r="K380" s="18">
        <f>IF(A380="","",SUMIF(Leads!$P$2:$P$501,A380,Leads!$R$2:$R$501))</f>
        <v/>
      </c>
      <c r="L380" s="18">
        <f>IF(A380="","",IF(I380&gt;=3,Settings!$B$6,0))</f>
        <v/>
      </c>
      <c r="M380" s="18">
        <f>IF(A380="","",J380+L380)</f>
        <v/>
      </c>
      <c r="N380" s="18" t="n"/>
      <c r="O380" s="18">
        <f>IF(A380="","",M380-N380)</f>
        <v/>
      </c>
      <c r="P380" s="17" t="n"/>
    </row>
    <row r="381">
      <c r="A381" s="17" t="n"/>
      <c r="B381" s="17" t="n"/>
      <c r="C381" s="17" t="n"/>
      <c r="D381" s="17" t="n"/>
      <c r="E381" s="17" t="n"/>
      <c r="F381" s="16" t="n"/>
      <c r="G381" s="17" t="n"/>
      <c r="H381" s="17">
        <f>IF(A381="","",COUNTIF(Leads!$P$2:$P$501,A381))</f>
        <v/>
      </c>
      <c r="I381" s="17">
        <f>IF(A381="","",COUNTIFS(Leads!$P$2:$P$501,A381,Leads!$I$2:$I$501,"Won",Leads!$N$2:$N$501,"&gt;="&amp;Settings!$B$7))</f>
        <v/>
      </c>
      <c r="J381" s="18">
        <f>IF(A381="","",SUMIF(Leads!$P$2:$P$501,A381,Leads!$Q$2:$Q$501))</f>
        <v/>
      </c>
      <c r="K381" s="18">
        <f>IF(A381="","",SUMIF(Leads!$P$2:$P$501,A381,Leads!$R$2:$R$501))</f>
        <v/>
      </c>
      <c r="L381" s="18">
        <f>IF(A381="","",IF(I381&gt;=3,Settings!$B$6,0))</f>
        <v/>
      </c>
      <c r="M381" s="18">
        <f>IF(A381="","",J381+L381)</f>
        <v/>
      </c>
      <c r="N381" s="18" t="n"/>
      <c r="O381" s="18">
        <f>IF(A381="","",M381-N381)</f>
        <v/>
      </c>
      <c r="P381" s="17" t="n"/>
    </row>
    <row r="382">
      <c r="A382" s="17" t="n"/>
      <c r="B382" s="17" t="n"/>
      <c r="C382" s="17" t="n"/>
      <c r="D382" s="17" t="n"/>
      <c r="E382" s="17" t="n"/>
      <c r="F382" s="16" t="n"/>
      <c r="G382" s="17" t="n"/>
      <c r="H382" s="17">
        <f>IF(A382="","",COUNTIF(Leads!$P$2:$P$501,A382))</f>
        <v/>
      </c>
      <c r="I382" s="17">
        <f>IF(A382="","",COUNTIFS(Leads!$P$2:$P$501,A382,Leads!$I$2:$I$501,"Won",Leads!$N$2:$N$501,"&gt;="&amp;Settings!$B$7))</f>
        <v/>
      </c>
      <c r="J382" s="18">
        <f>IF(A382="","",SUMIF(Leads!$P$2:$P$501,A382,Leads!$Q$2:$Q$501))</f>
        <v/>
      </c>
      <c r="K382" s="18">
        <f>IF(A382="","",SUMIF(Leads!$P$2:$P$501,A382,Leads!$R$2:$R$501))</f>
        <v/>
      </c>
      <c r="L382" s="18">
        <f>IF(A382="","",IF(I382&gt;=3,Settings!$B$6,0))</f>
        <v/>
      </c>
      <c r="M382" s="18">
        <f>IF(A382="","",J382+L382)</f>
        <v/>
      </c>
      <c r="N382" s="18" t="n"/>
      <c r="O382" s="18">
        <f>IF(A382="","",M382-N382)</f>
        <v/>
      </c>
      <c r="P382" s="17" t="n"/>
    </row>
    <row r="383">
      <c r="A383" s="17" t="n"/>
      <c r="B383" s="17" t="n"/>
      <c r="C383" s="17" t="n"/>
      <c r="D383" s="17" t="n"/>
      <c r="E383" s="17" t="n"/>
      <c r="F383" s="16" t="n"/>
      <c r="G383" s="17" t="n"/>
      <c r="H383" s="17">
        <f>IF(A383="","",COUNTIF(Leads!$P$2:$P$501,A383))</f>
        <v/>
      </c>
      <c r="I383" s="17">
        <f>IF(A383="","",COUNTIFS(Leads!$P$2:$P$501,A383,Leads!$I$2:$I$501,"Won",Leads!$N$2:$N$501,"&gt;="&amp;Settings!$B$7))</f>
        <v/>
      </c>
      <c r="J383" s="18">
        <f>IF(A383="","",SUMIF(Leads!$P$2:$P$501,A383,Leads!$Q$2:$Q$501))</f>
        <v/>
      </c>
      <c r="K383" s="18">
        <f>IF(A383="","",SUMIF(Leads!$P$2:$P$501,A383,Leads!$R$2:$R$501))</f>
        <v/>
      </c>
      <c r="L383" s="18">
        <f>IF(A383="","",IF(I383&gt;=3,Settings!$B$6,0))</f>
        <v/>
      </c>
      <c r="M383" s="18">
        <f>IF(A383="","",J383+L383)</f>
        <v/>
      </c>
      <c r="N383" s="18" t="n"/>
      <c r="O383" s="18">
        <f>IF(A383="","",M383-N383)</f>
        <v/>
      </c>
      <c r="P383" s="17" t="n"/>
    </row>
    <row r="384">
      <c r="A384" s="17" t="n"/>
      <c r="B384" s="17" t="n"/>
      <c r="C384" s="17" t="n"/>
      <c r="D384" s="17" t="n"/>
      <c r="E384" s="17" t="n"/>
      <c r="F384" s="16" t="n"/>
      <c r="G384" s="17" t="n"/>
      <c r="H384" s="17">
        <f>IF(A384="","",COUNTIF(Leads!$P$2:$P$501,A384))</f>
        <v/>
      </c>
      <c r="I384" s="17">
        <f>IF(A384="","",COUNTIFS(Leads!$P$2:$P$501,A384,Leads!$I$2:$I$501,"Won",Leads!$N$2:$N$501,"&gt;="&amp;Settings!$B$7))</f>
        <v/>
      </c>
      <c r="J384" s="18">
        <f>IF(A384="","",SUMIF(Leads!$P$2:$P$501,A384,Leads!$Q$2:$Q$501))</f>
        <v/>
      </c>
      <c r="K384" s="18">
        <f>IF(A384="","",SUMIF(Leads!$P$2:$P$501,A384,Leads!$R$2:$R$501))</f>
        <v/>
      </c>
      <c r="L384" s="18">
        <f>IF(A384="","",IF(I384&gt;=3,Settings!$B$6,0))</f>
        <v/>
      </c>
      <c r="M384" s="18">
        <f>IF(A384="","",J384+L384)</f>
        <v/>
      </c>
      <c r="N384" s="18" t="n"/>
      <c r="O384" s="18">
        <f>IF(A384="","",M384-N384)</f>
        <v/>
      </c>
      <c r="P384" s="17" t="n"/>
    </row>
    <row r="385">
      <c r="A385" s="17" t="n"/>
      <c r="B385" s="17" t="n"/>
      <c r="C385" s="17" t="n"/>
      <c r="D385" s="17" t="n"/>
      <c r="E385" s="17" t="n"/>
      <c r="F385" s="16" t="n"/>
      <c r="G385" s="17" t="n"/>
      <c r="H385" s="17">
        <f>IF(A385="","",COUNTIF(Leads!$P$2:$P$501,A385))</f>
        <v/>
      </c>
      <c r="I385" s="17">
        <f>IF(A385="","",COUNTIFS(Leads!$P$2:$P$501,A385,Leads!$I$2:$I$501,"Won",Leads!$N$2:$N$501,"&gt;="&amp;Settings!$B$7))</f>
        <v/>
      </c>
      <c r="J385" s="18">
        <f>IF(A385="","",SUMIF(Leads!$P$2:$P$501,A385,Leads!$Q$2:$Q$501))</f>
        <v/>
      </c>
      <c r="K385" s="18">
        <f>IF(A385="","",SUMIF(Leads!$P$2:$P$501,A385,Leads!$R$2:$R$501))</f>
        <v/>
      </c>
      <c r="L385" s="18">
        <f>IF(A385="","",IF(I385&gt;=3,Settings!$B$6,0))</f>
        <v/>
      </c>
      <c r="M385" s="18">
        <f>IF(A385="","",J385+L385)</f>
        <v/>
      </c>
      <c r="N385" s="18" t="n"/>
      <c r="O385" s="18">
        <f>IF(A385="","",M385-N385)</f>
        <v/>
      </c>
      <c r="P385" s="17" t="n"/>
    </row>
    <row r="386">
      <c r="A386" s="17" t="n"/>
      <c r="B386" s="17" t="n"/>
      <c r="C386" s="17" t="n"/>
      <c r="D386" s="17" t="n"/>
      <c r="E386" s="17" t="n"/>
      <c r="F386" s="16" t="n"/>
      <c r="G386" s="17" t="n"/>
      <c r="H386" s="17">
        <f>IF(A386="","",COUNTIF(Leads!$P$2:$P$501,A386))</f>
        <v/>
      </c>
      <c r="I386" s="17">
        <f>IF(A386="","",COUNTIFS(Leads!$P$2:$P$501,A386,Leads!$I$2:$I$501,"Won",Leads!$N$2:$N$501,"&gt;="&amp;Settings!$B$7))</f>
        <v/>
      </c>
      <c r="J386" s="18">
        <f>IF(A386="","",SUMIF(Leads!$P$2:$P$501,A386,Leads!$Q$2:$Q$501))</f>
        <v/>
      </c>
      <c r="K386" s="18">
        <f>IF(A386="","",SUMIF(Leads!$P$2:$P$501,A386,Leads!$R$2:$R$501))</f>
        <v/>
      </c>
      <c r="L386" s="18">
        <f>IF(A386="","",IF(I386&gt;=3,Settings!$B$6,0))</f>
        <v/>
      </c>
      <c r="M386" s="18">
        <f>IF(A386="","",J386+L386)</f>
        <v/>
      </c>
      <c r="N386" s="18" t="n"/>
      <c r="O386" s="18">
        <f>IF(A386="","",M386-N386)</f>
        <v/>
      </c>
      <c r="P386" s="17" t="n"/>
    </row>
    <row r="387">
      <c r="A387" s="17" t="n"/>
      <c r="B387" s="17" t="n"/>
      <c r="C387" s="17" t="n"/>
      <c r="D387" s="17" t="n"/>
      <c r="E387" s="17" t="n"/>
      <c r="F387" s="16" t="n"/>
      <c r="G387" s="17" t="n"/>
      <c r="H387" s="17">
        <f>IF(A387="","",COUNTIF(Leads!$P$2:$P$501,A387))</f>
        <v/>
      </c>
      <c r="I387" s="17">
        <f>IF(A387="","",COUNTIFS(Leads!$P$2:$P$501,A387,Leads!$I$2:$I$501,"Won",Leads!$N$2:$N$501,"&gt;="&amp;Settings!$B$7))</f>
        <v/>
      </c>
      <c r="J387" s="18">
        <f>IF(A387="","",SUMIF(Leads!$P$2:$P$501,A387,Leads!$Q$2:$Q$501))</f>
        <v/>
      </c>
      <c r="K387" s="18">
        <f>IF(A387="","",SUMIF(Leads!$P$2:$P$501,A387,Leads!$R$2:$R$501))</f>
        <v/>
      </c>
      <c r="L387" s="18">
        <f>IF(A387="","",IF(I387&gt;=3,Settings!$B$6,0))</f>
        <v/>
      </c>
      <c r="M387" s="18">
        <f>IF(A387="","",J387+L387)</f>
        <v/>
      </c>
      <c r="N387" s="18" t="n"/>
      <c r="O387" s="18">
        <f>IF(A387="","",M387-N387)</f>
        <v/>
      </c>
      <c r="P387" s="17" t="n"/>
    </row>
    <row r="388">
      <c r="A388" s="17" t="n"/>
      <c r="B388" s="17" t="n"/>
      <c r="C388" s="17" t="n"/>
      <c r="D388" s="17" t="n"/>
      <c r="E388" s="17" t="n"/>
      <c r="F388" s="16" t="n"/>
      <c r="G388" s="17" t="n"/>
      <c r="H388" s="17">
        <f>IF(A388="","",COUNTIF(Leads!$P$2:$P$501,A388))</f>
        <v/>
      </c>
      <c r="I388" s="17">
        <f>IF(A388="","",COUNTIFS(Leads!$P$2:$P$501,A388,Leads!$I$2:$I$501,"Won",Leads!$N$2:$N$501,"&gt;="&amp;Settings!$B$7))</f>
        <v/>
      </c>
      <c r="J388" s="18">
        <f>IF(A388="","",SUMIF(Leads!$P$2:$P$501,A388,Leads!$Q$2:$Q$501))</f>
        <v/>
      </c>
      <c r="K388" s="18">
        <f>IF(A388="","",SUMIF(Leads!$P$2:$P$501,A388,Leads!$R$2:$R$501))</f>
        <v/>
      </c>
      <c r="L388" s="18">
        <f>IF(A388="","",IF(I388&gt;=3,Settings!$B$6,0))</f>
        <v/>
      </c>
      <c r="M388" s="18">
        <f>IF(A388="","",J388+L388)</f>
        <v/>
      </c>
      <c r="N388" s="18" t="n"/>
      <c r="O388" s="18">
        <f>IF(A388="","",M388-N388)</f>
        <v/>
      </c>
      <c r="P388" s="17" t="n"/>
    </row>
    <row r="389">
      <c r="A389" s="17" t="n"/>
      <c r="B389" s="17" t="n"/>
      <c r="C389" s="17" t="n"/>
      <c r="D389" s="17" t="n"/>
      <c r="E389" s="17" t="n"/>
      <c r="F389" s="16" t="n"/>
      <c r="G389" s="17" t="n"/>
      <c r="H389" s="17">
        <f>IF(A389="","",COUNTIF(Leads!$P$2:$P$501,A389))</f>
        <v/>
      </c>
      <c r="I389" s="17">
        <f>IF(A389="","",COUNTIFS(Leads!$P$2:$P$501,A389,Leads!$I$2:$I$501,"Won",Leads!$N$2:$N$501,"&gt;="&amp;Settings!$B$7))</f>
        <v/>
      </c>
      <c r="J389" s="18">
        <f>IF(A389="","",SUMIF(Leads!$P$2:$P$501,A389,Leads!$Q$2:$Q$501))</f>
        <v/>
      </c>
      <c r="K389" s="18">
        <f>IF(A389="","",SUMIF(Leads!$P$2:$P$501,A389,Leads!$R$2:$R$501))</f>
        <v/>
      </c>
      <c r="L389" s="18">
        <f>IF(A389="","",IF(I389&gt;=3,Settings!$B$6,0))</f>
        <v/>
      </c>
      <c r="M389" s="18">
        <f>IF(A389="","",J389+L389)</f>
        <v/>
      </c>
      <c r="N389" s="18" t="n"/>
      <c r="O389" s="18">
        <f>IF(A389="","",M389-N389)</f>
        <v/>
      </c>
      <c r="P389" s="17" t="n"/>
    </row>
    <row r="390">
      <c r="A390" s="17" t="n"/>
      <c r="B390" s="17" t="n"/>
      <c r="C390" s="17" t="n"/>
      <c r="D390" s="17" t="n"/>
      <c r="E390" s="17" t="n"/>
      <c r="F390" s="16" t="n"/>
      <c r="G390" s="17" t="n"/>
      <c r="H390" s="17">
        <f>IF(A390="","",COUNTIF(Leads!$P$2:$P$501,A390))</f>
        <v/>
      </c>
      <c r="I390" s="17">
        <f>IF(A390="","",COUNTIFS(Leads!$P$2:$P$501,A390,Leads!$I$2:$I$501,"Won",Leads!$N$2:$N$501,"&gt;="&amp;Settings!$B$7))</f>
        <v/>
      </c>
      <c r="J390" s="18">
        <f>IF(A390="","",SUMIF(Leads!$P$2:$P$501,A390,Leads!$Q$2:$Q$501))</f>
        <v/>
      </c>
      <c r="K390" s="18">
        <f>IF(A390="","",SUMIF(Leads!$P$2:$P$501,A390,Leads!$R$2:$R$501))</f>
        <v/>
      </c>
      <c r="L390" s="18">
        <f>IF(A390="","",IF(I390&gt;=3,Settings!$B$6,0))</f>
        <v/>
      </c>
      <c r="M390" s="18">
        <f>IF(A390="","",J390+L390)</f>
        <v/>
      </c>
      <c r="N390" s="18" t="n"/>
      <c r="O390" s="18">
        <f>IF(A390="","",M390-N390)</f>
        <v/>
      </c>
      <c r="P390" s="17" t="n"/>
    </row>
    <row r="391">
      <c r="A391" s="17" t="n"/>
      <c r="B391" s="17" t="n"/>
      <c r="C391" s="17" t="n"/>
      <c r="D391" s="17" t="n"/>
      <c r="E391" s="17" t="n"/>
      <c r="F391" s="16" t="n"/>
      <c r="G391" s="17" t="n"/>
      <c r="H391" s="17">
        <f>IF(A391="","",COUNTIF(Leads!$P$2:$P$501,A391))</f>
        <v/>
      </c>
      <c r="I391" s="17">
        <f>IF(A391="","",COUNTIFS(Leads!$P$2:$P$501,A391,Leads!$I$2:$I$501,"Won",Leads!$N$2:$N$501,"&gt;="&amp;Settings!$B$7))</f>
        <v/>
      </c>
      <c r="J391" s="18">
        <f>IF(A391="","",SUMIF(Leads!$P$2:$P$501,A391,Leads!$Q$2:$Q$501))</f>
        <v/>
      </c>
      <c r="K391" s="18">
        <f>IF(A391="","",SUMIF(Leads!$P$2:$P$501,A391,Leads!$R$2:$R$501))</f>
        <v/>
      </c>
      <c r="L391" s="18">
        <f>IF(A391="","",IF(I391&gt;=3,Settings!$B$6,0))</f>
        <v/>
      </c>
      <c r="M391" s="18">
        <f>IF(A391="","",J391+L391)</f>
        <v/>
      </c>
      <c r="N391" s="18" t="n"/>
      <c r="O391" s="18">
        <f>IF(A391="","",M391-N391)</f>
        <v/>
      </c>
      <c r="P391" s="17" t="n"/>
    </row>
    <row r="392">
      <c r="A392" s="17" t="n"/>
      <c r="B392" s="17" t="n"/>
      <c r="C392" s="17" t="n"/>
      <c r="D392" s="17" t="n"/>
      <c r="E392" s="17" t="n"/>
      <c r="F392" s="16" t="n"/>
      <c r="G392" s="17" t="n"/>
      <c r="H392" s="17">
        <f>IF(A392="","",COUNTIF(Leads!$P$2:$P$501,A392))</f>
        <v/>
      </c>
      <c r="I392" s="17">
        <f>IF(A392="","",COUNTIFS(Leads!$P$2:$P$501,A392,Leads!$I$2:$I$501,"Won",Leads!$N$2:$N$501,"&gt;="&amp;Settings!$B$7))</f>
        <v/>
      </c>
      <c r="J392" s="18">
        <f>IF(A392="","",SUMIF(Leads!$P$2:$P$501,A392,Leads!$Q$2:$Q$501))</f>
        <v/>
      </c>
      <c r="K392" s="18">
        <f>IF(A392="","",SUMIF(Leads!$P$2:$P$501,A392,Leads!$R$2:$R$501))</f>
        <v/>
      </c>
      <c r="L392" s="18">
        <f>IF(A392="","",IF(I392&gt;=3,Settings!$B$6,0))</f>
        <v/>
      </c>
      <c r="M392" s="18">
        <f>IF(A392="","",J392+L392)</f>
        <v/>
      </c>
      <c r="N392" s="18" t="n"/>
      <c r="O392" s="18">
        <f>IF(A392="","",M392-N392)</f>
        <v/>
      </c>
      <c r="P392" s="17" t="n"/>
    </row>
    <row r="393">
      <c r="A393" s="17" t="n"/>
      <c r="B393" s="17" t="n"/>
      <c r="C393" s="17" t="n"/>
      <c r="D393" s="17" t="n"/>
      <c r="E393" s="17" t="n"/>
      <c r="F393" s="16" t="n"/>
      <c r="G393" s="17" t="n"/>
      <c r="H393" s="17">
        <f>IF(A393="","",COUNTIF(Leads!$P$2:$P$501,A393))</f>
        <v/>
      </c>
      <c r="I393" s="17">
        <f>IF(A393="","",COUNTIFS(Leads!$P$2:$P$501,A393,Leads!$I$2:$I$501,"Won",Leads!$N$2:$N$501,"&gt;="&amp;Settings!$B$7))</f>
        <v/>
      </c>
      <c r="J393" s="18">
        <f>IF(A393="","",SUMIF(Leads!$P$2:$P$501,A393,Leads!$Q$2:$Q$501))</f>
        <v/>
      </c>
      <c r="K393" s="18">
        <f>IF(A393="","",SUMIF(Leads!$P$2:$P$501,A393,Leads!$R$2:$R$501))</f>
        <v/>
      </c>
      <c r="L393" s="18">
        <f>IF(A393="","",IF(I393&gt;=3,Settings!$B$6,0))</f>
        <v/>
      </c>
      <c r="M393" s="18">
        <f>IF(A393="","",J393+L393)</f>
        <v/>
      </c>
      <c r="N393" s="18" t="n"/>
      <c r="O393" s="18">
        <f>IF(A393="","",M393-N393)</f>
        <v/>
      </c>
      <c r="P393" s="17" t="n"/>
    </row>
    <row r="394">
      <c r="A394" s="17" t="n"/>
      <c r="B394" s="17" t="n"/>
      <c r="C394" s="17" t="n"/>
      <c r="D394" s="17" t="n"/>
      <c r="E394" s="17" t="n"/>
      <c r="F394" s="16" t="n"/>
      <c r="G394" s="17" t="n"/>
      <c r="H394" s="17">
        <f>IF(A394="","",COUNTIF(Leads!$P$2:$P$501,A394))</f>
        <v/>
      </c>
      <c r="I394" s="17">
        <f>IF(A394="","",COUNTIFS(Leads!$P$2:$P$501,A394,Leads!$I$2:$I$501,"Won",Leads!$N$2:$N$501,"&gt;="&amp;Settings!$B$7))</f>
        <v/>
      </c>
      <c r="J394" s="18">
        <f>IF(A394="","",SUMIF(Leads!$P$2:$P$501,A394,Leads!$Q$2:$Q$501))</f>
        <v/>
      </c>
      <c r="K394" s="18">
        <f>IF(A394="","",SUMIF(Leads!$P$2:$P$501,A394,Leads!$R$2:$R$501))</f>
        <v/>
      </c>
      <c r="L394" s="18">
        <f>IF(A394="","",IF(I394&gt;=3,Settings!$B$6,0))</f>
        <v/>
      </c>
      <c r="M394" s="18">
        <f>IF(A394="","",J394+L394)</f>
        <v/>
      </c>
      <c r="N394" s="18" t="n"/>
      <c r="O394" s="18">
        <f>IF(A394="","",M394-N394)</f>
        <v/>
      </c>
      <c r="P394" s="17" t="n"/>
    </row>
    <row r="395">
      <c r="A395" s="17" t="n"/>
      <c r="B395" s="17" t="n"/>
      <c r="C395" s="17" t="n"/>
      <c r="D395" s="17" t="n"/>
      <c r="E395" s="17" t="n"/>
      <c r="F395" s="16" t="n"/>
      <c r="G395" s="17" t="n"/>
      <c r="H395" s="17">
        <f>IF(A395="","",COUNTIF(Leads!$P$2:$P$501,A395))</f>
        <v/>
      </c>
      <c r="I395" s="17">
        <f>IF(A395="","",COUNTIFS(Leads!$P$2:$P$501,A395,Leads!$I$2:$I$501,"Won",Leads!$N$2:$N$501,"&gt;="&amp;Settings!$B$7))</f>
        <v/>
      </c>
      <c r="J395" s="18">
        <f>IF(A395="","",SUMIF(Leads!$P$2:$P$501,A395,Leads!$Q$2:$Q$501))</f>
        <v/>
      </c>
      <c r="K395" s="18">
        <f>IF(A395="","",SUMIF(Leads!$P$2:$P$501,A395,Leads!$R$2:$R$501))</f>
        <v/>
      </c>
      <c r="L395" s="18">
        <f>IF(A395="","",IF(I395&gt;=3,Settings!$B$6,0))</f>
        <v/>
      </c>
      <c r="M395" s="18">
        <f>IF(A395="","",J395+L395)</f>
        <v/>
      </c>
      <c r="N395" s="18" t="n"/>
      <c r="O395" s="18">
        <f>IF(A395="","",M395-N395)</f>
        <v/>
      </c>
      <c r="P395" s="17" t="n"/>
    </row>
    <row r="396">
      <c r="A396" s="17" t="n"/>
      <c r="B396" s="17" t="n"/>
      <c r="C396" s="17" t="n"/>
      <c r="D396" s="17" t="n"/>
      <c r="E396" s="17" t="n"/>
      <c r="F396" s="16" t="n"/>
      <c r="G396" s="17" t="n"/>
      <c r="H396" s="17">
        <f>IF(A396="","",COUNTIF(Leads!$P$2:$P$501,A396))</f>
        <v/>
      </c>
      <c r="I396" s="17">
        <f>IF(A396="","",COUNTIFS(Leads!$P$2:$P$501,A396,Leads!$I$2:$I$501,"Won",Leads!$N$2:$N$501,"&gt;="&amp;Settings!$B$7))</f>
        <v/>
      </c>
      <c r="J396" s="18">
        <f>IF(A396="","",SUMIF(Leads!$P$2:$P$501,A396,Leads!$Q$2:$Q$501))</f>
        <v/>
      </c>
      <c r="K396" s="18">
        <f>IF(A396="","",SUMIF(Leads!$P$2:$P$501,A396,Leads!$R$2:$R$501))</f>
        <v/>
      </c>
      <c r="L396" s="18">
        <f>IF(A396="","",IF(I396&gt;=3,Settings!$B$6,0))</f>
        <v/>
      </c>
      <c r="M396" s="18">
        <f>IF(A396="","",J396+L396)</f>
        <v/>
      </c>
      <c r="N396" s="18" t="n"/>
      <c r="O396" s="18">
        <f>IF(A396="","",M396-N396)</f>
        <v/>
      </c>
      <c r="P396" s="17" t="n"/>
    </row>
    <row r="397">
      <c r="A397" s="17" t="n"/>
      <c r="B397" s="17" t="n"/>
      <c r="C397" s="17" t="n"/>
      <c r="D397" s="17" t="n"/>
      <c r="E397" s="17" t="n"/>
      <c r="F397" s="16" t="n"/>
      <c r="G397" s="17" t="n"/>
      <c r="H397" s="17">
        <f>IF(A397="","",COUNTIF(Leads!$P$2:$P$501,A397))</f>
        <v/>
      </c>
      <c r="I397" s="17">
        <f>IF(A397="","",COUNTIFS(Leads!$P$2:$P$501,A397,Leads!$I$2:$I$501,"Won",Leads!$N$2:$N$501,"&gt;="&amp;Settings!$B$7))</f>
        <v/>
      </c>
      <c r="J397" s="18">
        <f>IF(A397="","",SUMIF(Leads!$P$2:$P$501,A397,Leads!$Q$2:$Q$501))</f>
        <v/>
      </c>
      <c r="K397" s="18">
        <f>IF(A397="","",SUMIF(Leads!$P$2:$P$501,A397,Leads!$R$2:$R$501))</f>
        <v/>
      </c>
      <c r="L397" s="18">
        <f>IF(A397="","",IF(I397&gt;=3,Settings!$B$6,0))</f>
        <v/>
      </c>
      <c r="M397" s="18">
        <f>IF(A397="","",J397+L397)</f>
        <v/>
      </c>
      <c r="N397" s="18" t="n"/>
      <c r="O397" s="18">
        <f>IF(A397="","",M397-N397)</f>
        <v/>
      </c>
      <c r="P397" s="17" t="n"/>
    </row>
    <row r="398">
      <c r="A398" s="17" t="n"/>
      <c r="B398" s="17" t="n"/>
      <c r="C398" s="17" t="n"/>
      <c r="D398" s="17" t="n"/>
      <c r="E398" s="17" t="n"/>
      <c r="F398" s="16" t="n"/>
      <c r="G398" s="17" t="n"/>
      <c r="H398" s="17">
        <f>IF(A398="","",COUNTIF(Leads!$P$2:$P$501,A398))</f>
        <v/>
      </c>
      <c r="I398" s="17">
        <f>IF(A398="","",COUNTIFS(Leads!$P$2:$P$501,A398,Leads!$I$2:$I$501,"Won",Leads!$N$2:$N$501,"&gt;="&amp;Settings!$B$7))</f>
        <v/>
      </c>
      <c r="J398" s="18">
        <f>IF(A398="","",SUMIF(Leads!$P$2:$P$501,A398,Leads!$Q$2:$Q$501))</f>
        <v/>
      </c>
      <c r="K398" s="18">
        <f>IF(A398="","",SUMIF(Leads!$P$2:$P$501,A398,Leads!$R$2:$R$501))</f>
        <v/>
      </c>
      <c r="L398" s="18">
        <f>IF(A398="","",IF(I398&gt;=3,Settings!$B$6,0))</f>
        <v/>
      </c>
      <c r="M398" s="18">
        <f>IF(A398="","",J398+L398)</f>
        <v/>
      </c>
      <c r="N398" s="18" t="n"/>
      <c r="O398" s="18">
        <f>IF(A398="","",M398-N398)</f>
        <v/>
      </c>
      <c r="P398" s="17" t="n"/>
    </row>
    <row r="399">
      <c r="A399" s="17" t="n"/>
      <c r="B399" s="17" t="n"/>
      <c r="C399" s="17" t="n"/>
      <c r="D399" s="17" t="n"/>
      <c r="E399" s="17" t="n"/>
      <c r="F399" s="16" t="n"/>
      <c r="G399" s="17" t="n"/>
      <c r="H399" s="17">
        <f>IF(A399="","",COUNTIF(Leads!$P$2:$P$501,A399))</f>
        <v/>
      </c>
      <c r="I399" s="17">
        <f>IF(A399="","",COUNTIFS(Leads!$P$2:$P$501,A399,Leads!$I$2:$I$501,"Won",Leads!$N$2:$N$501,"&gt;="&amp;Settings!$B$7))</f>
        <v/>
      </c>
      <c r="J399" s="18">
        <f>IF(A399="","",SUMIF(Leads!$P$2:$P$501,A399,Leads!$Q$2:$Q$501))</f>
        <v/>
      </c>
      <c r="K399" s="18">
        <f>IF(A399="","",SUMIF(Leads!$P$2:$P$501,A399,Leads!$R$2:$R$501))</f>
        <v/>
      </c>
      <c r="L399" s="18">
        <f>IF(A399="","",IF(I399&gt;=3,Settings!$B$6,0))</f>
        <v/>
      </c>
      <c r="M399" s="18">
        <f>IF(A399="","",J399+L399)</f>
        <v/>
      </c>
      <c r="N399" s="18" t="n"/>
      <c r="O399" s="18">
        <f>IF(A399="","",M399-N399)</f>
        <v/>
      </c>
      <c r="P399" s="17" t="n"/>
    </row>
    <row r="400">
      <c r="A400" s="17" t="n"/>
      <c r="B400" s="17" t="n"/>
      <c r="C400" s="17" t="n"/>
      <c r="D400" s="17" t="n"/>
      <c r="E400" s="17" t="n"/>
      <c r="F400" s="16" t="n"/>
      <c r="G400" s="17" t="n"/>
      <c r="H400" s="17">
        <f>IF(A400="","",COUNTIF(Leads!$P$2:$P$501,A400))</f>
        <v/>
      </c>
      <c r="I400" s="17">
        <f>IF(A400="","",COUNTIFS(Leads!$P$2:$P$501,A400,Leads!$I$2:$I$501,"Won",Leads!$N$2:$N$501,"&gt;="&amp;Settings!$B$7))</f>
        <v/>
      </c>
      <c r="J400" s="18">
        <f>IF(A400="","",SUMIF(Leads!$P$2:$P$501,A400,Leads!$Q$2:$Q$501))</f>
        <v/>
      </c>
      <c r="K400" s="18">
        <f>IF(A400="","",SUMIF(Leads!$P$2:$P$501,A400,Leads!$R$2:$R$501))</f>
        <v/>
      </c>
      <c r="L400" s="18">
        <f>IF(A400="","",IF(I400&gt;=3,Settings!$B$6,0))</f>
        <v/>
      </c>
      <c r="M400" s="18">
        <f>IF(A400="","",J400+L400)</f>
        <v/>
      </c>
      <c r="N400" s="18" t="n"/>
      <c r="O400" s="18">
        <f>IF(A400="","",M400-N400)</f>
        <v/>
      </c>
      <c r="P400" s="17" t="n"/>
    </row>
    <row r="401">
      <c r="A401" s="17" t="n"/>
      <c r="B401" s="17" t="n"/>
      <c r="C401" s="17" t="n"/>
      <c r="D401" s="17" t="n"/>
      <c r="E401" s="17" t="n"/>
      <c r="F401" s="16" t="n"/>
      <c r="G401" s="17" t="n"/>
      <c r="H401" s="17">
        <f>IF(A401="","",COUNTIF(Leads!$P$2:$P$501,A401))</f>
        <v/>
      </c>
      <c r="I401" s="17">
        <f>IF(A401="","",COUNTIFS(Leads!$P$2:$P$501,A401,Leads!$I$2:$I$501,"Won",Leads!$N$2:$N$501,"&gt;="&amp;Settings!$B$7))</f>
        <v/>
      </c>
      <c r="J401" s="18">
        <f>IF(A401="","",SUMIF(Leads!$P$2:$P$501,A401,Leads!$Q$2:$Q$501))</f>
        <v/>
      </c>
      <c r="K401" s="18">
        <f>IF(A401="","",SUMIF(Leads!$P$2:$P$501,A401,Leads!$R$2:$R$501))</f>
        <v/>
      </c>
      <c r="L401" s="18">
        <f>IF(A401="","",IF(I401&gt;=3,Settings!$B$6,0))</f>
        <v/>
      </c>
      <c r="M401" s="18">
        <f>IF(A401="","",J401+L401)</f>
        <v/>
      </c>
      <c r="N401" s="18" t="n"/>
      <c r="O401" s="18">
        <f>IF(A401="","",M401-N401)</f>
        <v/>
      </c>
      <c r="P401" s="17" t="n"/>
    </row>
    <row r="402">
      <c r="A402" s="17" t="n"/>
      <c r="B402" s="17" t="n"/>
      <c r="C402" s="17" t="n"/>
      <c r="D402" s="17" t="n"/>
      <c r="E402" s="17" t="n"/>
      <c r="F402" s="16" t="n"/>
      <c r="G402" s="17" t="n"/>
      <c r="H402" s="17">
        <f>IF(A402="","",COUNTIF(Leads!$P$2:$P$501,A402))</f>
        <v/>
      </c>
      <c r="I402" s="17">
        <f>IF(A402="","",COUNTIFS(Leads!$P$2:$P$501,A402,Leads!$I$2:$I$501,"Won",Leads!$N$2:$N$501,"&gt;="&amp;Settings!$B$7))</f>
        <v/>
      </c>
      <c r="J402" s="18">
        <f>IF(A402="","",SUMIF(Leads!$P$2:$P$501,A402,Leads!$Q$2:$Q$501))</f>
        <v/>
      </c>
      <c r="K402" s="18">
        <f>IF(A402="","",SUMIF(Leads!$P$2:$P$501,A402,Leads!$R$2:$R$501))</f>
        <v/>
      </c>
      <c r="L402" s="18">
        <f>IF(A402="","",IF(I402&gt;=3,Settings!$B$6,0))</f>
        <v/>
      </c>
      <c r="M402" s="18">
        <f>IF(A402="","",J402+L402)</f>
        <v/>
      </c>
      <c r="N402" s="18" t="n"/>
      <c r="O402" s="18">
        <f>IF(A402="","",M402-N402)</f>
        <v/>
      </c>
      <c r="P402" s="17" t="n"/>
    </row>
    <row r="403">
      <c r="A403" s="17" t="n"/>
      <c r="B403" s="17" t="n"/>
      <c r="C403" s="17" t="n"/>
      <c r="D403" s="17" t="n"/>
      <c r="E403" s="17" t="n"/>
      <c r="F403" s="16" t="n"/>
      <c r="G403" s="17" t="n"/>
      <c r="H403" s="17">
        <f>IF(A403="","",COUNTIF(Leads!$P$2:$P$501,A403))</f>
        <v/>
      </c>
      <c r="I403" s="17">
        <f>IF(A403="","",COUNTIFS(Leads!$P$2:$P$501,A403,Leads!$I$2:$I$501,"Won",Leads!$N$2:$N$501,"&gt;="&amp;Settings!$B$7))</f>
        <v/>
      </c>
      <c r="J403" s="18">
        <f>IF(A403="","",SUMIF(Leads!$P$2:$P$501,A403,Leads!$Q$2:$Q$501))</f>
        <v/>
      </c>
      <c r="K403" s="18">
        <f>IF(A403="","",SUMIF(Leads!$P$2:$P$501,A403,Leads!$R$2:$R$501))</f>
        <v/>
      </c>
      <c r="L403" s="18">
        <f>IF(A403="","",IF(I403&gt;=3,Settings!$B$6,0))</f>
        <v/>
      </c>
      <c r="M403" s="18">
        <f>IF(A403="","",J403+L403)</f>
        <v/>
      </c>
      <c r="N403" s="18" t="n"/>
      <c r="O403" s="18">
        <f>IF(A403="","",M403-N403)</f>
        <v/>
      </c>
      <c r="P403" s="17" t="n"/>
    </row>
    <row r="404">
      <c r="A404" s="17" t="n"/>
      <c r="B404" s="17" t="n"/>
      <c r="C404" s="17" t="n"/>
      <c r="D404" s="17" t="n"/>
      <c r="E404" s="17" t="n"/>
      <c r="F404" s="16" t="n"/>
      <c r="G404" s="17" t="n"/>
      <c r="H404" s="17">
        <f>IF(A404="","",COUNTIF(Leads!$P$2:$P$501,A404))</f>
        <v/>
      </c>
      <c r="I404" s="17">
        <f>IF(A404="","",COUNTIFS(Leads!$P$2:$P$501,A404,Leads!$I$2:$I$501,"Won",Leads!$N$2:$N$501,"&gt;="&amp;Settings!$B$7))</f>
        <v/>
      </c>
      <c r="J404" s="18">
        <f>IF(A404="","",SUMIF(Leads!$P$2:$P$501,A404,Leads!$Q$2:$Q$501))</f>
        <v/>
      </c>
      <c r="K404" s="18">
        <f>IF(A404="","",SUMIF(Leads!$P$2:$P$501,A404,Leads!$R$2:$R$501))</f>
        <v/>
      </c>
      <c r="L404" s="18">
        <f>IF(A404="","",IF(I404&gt;=3,Settings!$B$6,0))</f>
        <v/>
      </c>
      <c r="M404" s="18">
        <f>IF(A404="","",J404+L404)</f>
        <v/>
      </c>
      <c r="N404" s="18" t="n"/>
      <c r="O404" s="18">
        <f>IF(A404="","",M404-N404)</f>
        <v/>
      </c>
      <c r="P404" s="17" t="n"/>
    </row>
    <row r="405">
      <c r="A405" s="17" t="n"/>
      <c r="B405" s="17" t="n"/>
      <c r="C405" s="17" t="n"/>
      <c r="D405" s="17" t="n"/>
      <c r="E405" s="17" t="n"/>
      <c r="F405" s="16" t="n"/>
      <c r="G405" s="17" t="n"/>
      <c r="H405" s="17">
        <f>IF(A405="","",COUNTIF(Leads!$P$2:$P$501,A405))</f>
        <v/>
      </c>
      <c r="I405" s="17">
        <f>IF(A405="","",COUNTIFS(Leads!$P$2:$P$501,A405,Leads!$I$2:$I$501,"Won",Leads!$N$2:$N$501,"&gt;="&amp;Settings!$B$7))</f>
        <v/>
      </c>
      <c r="J405" s="18">
        <f>IF(A405="","",SUMIF(Leads!$P$2:$P$501,A405,Leads!$Q$2:$Q$501))</f>
        <v/>
      </c>
      <c r="K405" s="18">
        <f>IF(A405="","",SUMIF(Leads!$P$2:$P$501,A405,Leads!$R$2:$R$501))</f>
        <v/>
      </c>
      <c r="L405" s="18">
        <f>IF(A405="","",IF(I405&gt;=3,Settings!$B$6,0))</f>
        <v/>
      </c>
      <c r="M405" s="18">
        <f>IF(A405="","",J405+L405)</f>
        <v/>
      </c>
      <c r="N405" s="18" t="n"/>
      <c r="O405" s="18">
        <f>IF(A405="","",M405-N405)</f>
        <v/>
      </c>
      <c r="P405" s="17" t="n"/>
    </row>
    <row r="406">
      <c r="A406" s="17" t="n"/>
      <c r="B406" s="17" t="n"/>
      <c r="C406" s="17" t="n"/>
      <c r="D406" s="17" t="n"/>
      <c r="E406" s="17" t="n"/>
      <c r="F406" s="16" t="n"/>
      <c r="G406" s="17" t="n"/>
      <c r="H406" s="17">
        <f>IF(A406="","",COUNTIF(Leads!$P$2:$P$501,A406))</f>
        <v/>
      </c>
      <c r="I406" s="17">
        <f>IF(A406="","",COUNTIFS(Leads!$P$2:$P$501,A406,Leads!$I$2:$I$501,"Won",Leads!$N$2:$N$501,"&gt;="&amp;Settings!$B$7))</f>
        <v/>
      </c>
      <c r="J406" s="18">
        <f>IF(A406="","",SUMIF(Leads!$P$2:$P$501,A406,Leads!$Q$2:$Q$501))</f>
        <v/>
      </c>
      <c r="K406" s="18">
        <f>IF(A406="","",SUMIF(Leads!$P$2:$P$501,A406,Leads!$R$2:$R$501))</f>
        <v/>
      </c>
      <c r="L406" s="18">
        <f>IF(A406="","",IF(I406&gt;=3,Settings!$B$6,0))</f>
        <v/>
      </c>
      <c r="M406" s="18">
        <f>IF(A406="","",J406+L406)</f>
        <v/>
      </c>
      <c r="N406" s="18" t="n"/>
      <c r="O406" s="18">
        <f>IF(A406="","",M406-N406)</f>
        <v/>
      </c>
      <c r="P406" s="17" t="n"/>
    </row>
    <row r="407">
      <c r="A407" s="17" t="n"/>
      <c r="B407" s="17" t="n"/>
      <c r="C407" s="17" t="n"/>
      <c r="D407" s="17" t="n"/>
      <c r="E407" s="17" t="n"/>
      <c r="F407" s="16" t="n"/>
      <c r="G407" s="17" t="n"/>
      <c r="H407" s="17">
        <f>IF(A407="","",COUNTIF(Leads!$P$2:$P$501,A407))</f>
        <v/>
      </c>
      <c r="I407" s="17">
        <f>IF(A407="","",COUNTIFS(Leads!$P$2:$P$501,A407,Leads!$I$2:$I$501,"Won",Leads!$N$2:$N$501,"&gt;="&amp;Settings!$B$7))</f>
        <v/>
      </c>
      <c r="J407" s="18">
        <f>IF(A407="","",SUMIF(Leads!$P$2:$P$501,A407,Leads!$Q$2:$Q$501))</f>
        <v/>
      </c>
      <c r="K407" s="18">
        <f>IF(A407="","",SUMIF(Leads!$P$2:$P$501,A407,Leads!$R$2:$R$501))</f>
        <v/>
      </c>
      <c r="L407" s="18">
        <f>IF(A407="","",IF(I407&gt;=3,Settings!$B$6,0))</f>
        <v/>
      </c>
      <c r="M407" s="18">
        <f>IF(A407="","",J407+L407)</f>
        <v/>
      </c>
      <c r="N407" s="18" t="n"/>
      <c r="O407" s="18">
        <f>IF(A407="","",M407-N407)</f>
        <v/>
      </c>
      <c r="P407" s="17" t="n"/>
    </row>
    <row r="408">
      <c r="A408" s="17" t="n"/>
      <c r="B408" s="17" t="n"/>
      <c r="C408" s="17" t="n"/>
      <c r="D408" s="17" t="n"/>
      <c r="E408" s="17" t="n"/>
      <c r="F408" s="16" t="n"/>
      <c r="G408" s="17" t="n"/>
      <c r="H408" s="17">
        <f>IF(A408="","",COUNTIF(Leads!$P$2:$P$501,A408))</f>
        <v/>
      </c>
      <c r="I408" s="17">
        <f>IF(A408="","",COUNTIFS(Leads!$P$2:$P$501,A408,Leads!$I$2:$I$501,"Won",Leads!$N$2:$N$501,"&gt;="&amp;Settings!$B$7))</f>
        <v/>
      </c>
      <c r="J408" s="18">
        <f>IF(A408="","",SUMIF(Leads!$P$2:$P$501,A408,Leads!$Q$2:$Q$501))</f>
        <v/>
      </c>
      <c r="K408" s="18">
        <f>IF(A408="","",SUMIF(Leads!$P$2:$P$501,A408,Leads!$R$2:$R$501))</f>
        <v/>
      </c>
      <c r="L408" s="18">
        <f>IF(A408="","",IF(I408&gt;=3,Settings!$B$6,0))</f>
        <v/>
      </c>
      <c r="M408" s="18">
        <f>IF(A408="","",J408+L408)</f>
        <v/>
      </c>
      <c r="N408" s="18" t="n"/>
      <c r="O408" s="18">
        <f>IF(A408="","",M408-N408)</f>
        <v/>
      </c>
      <c r="P408" s="17" t="n"/>
    </row>
    <row r="409">
      <c r="A409" s="17" t="n"/>
      <c r="B409" s="17" t="n"/>
      <c r="C409" s="17" t="n"/>
      <c r="D409" s="17" t="n"/>
      <c r="E409" s="17" t="n"/>
      <c r="F409" s="16" t="n"/>
      <c r="G409" s="17" t="n"/>
      <c r="H409" s="17">
        <f>IF(A409="","",COUNTIF(Leads!$P$2:$P$501,A409))</f>
        <v/>
      </c>
      <c r="I409" s="17">
        <f>IF(A409="","",COUNTIFS(Leads!$P$2:$P$501,A409,Leads!$I$2:$I$501,"Won",Leads!$N$2:$N$501,"&gt;="&amp;Settings!$B$7))</f>
        <v/>
      </c>
      <c r="J409" s="18">
        <f>IF(A409="","",SUMIF(Leads!$P$2:$P$501,A409,Leads!$Q$2:$Q$501))</f>
        <v/>
      </c>
      <c r="K409" s="18">
        <f>IF(A409="","",SUMIF(Leads!$P$2:$P$501,A409,Leads!$R$2:$R$501))</f>
        <v/>
      </c>
      <c r="L409" s="18">
        <f>IF(A409="","",IF(I409&gt;=3,Settings!$B$6,0))</f>
        <v/>
      </c>
      <c r="M409" s="18">
        <f>IF(A409="","",J409+L409)</f>
        <v/>
      </c>
      <c r="N409" s="18" t="n"/>
      <c r="O409" s="18">
        <f>IF(A409="","",M409-N409)</f>
        <v/>
      </c>
      <c r="P409" s="17" t="n"/>
    </row>
    <row r="410">
      <c r="A410" s="17" t="n"/>
      <c r="B410" s="17" t="n"/>
      <c r="C410" s="17" t="n"/>
      <c r="D410" s="17" t="n"/>
      <c r="E410" s="17" t="n"/>
      <c r="F410" s="16" t="n"/>
      <c r="G410" s="17" t="n"/>
      <c r="H410" s="17">
        <f>IF(A410="","",COUNTIF(Leads!$P$2:$P$501,A410))</f>
        <v/>
      </c>
      <c r="I410" s="17">
        <f>IF(A410="","",COUNTIFS(Leads!$P$2:$P$501,A410,Leads!$I$2:$I$501,"Won",Leads!$N$2:$N$501,"&gt;="&amp;Settings!$B$7))</f>
        <v/>
      </c>
      <c r="J410" s="18">
        <f>IF(A410="","",SUMIF(Leads!$P$2:$P$501,A410,Leads!$Q$2:$Q$501))</f>
        <v/>
      </c>
      <c r="K410" s="18">
        <f>IF(A410="","",SUMIF(Leads!$P$2:$P$501,A410,Leads!$R$2:$R$501))</f>
        <v/>
      </c>
      <c r="L410" s="18">
        <f>IF(A410="","",IF(I410&gt;=3,Settings!$B$6,0))</f>
        <v/>
      </c>
      <c r="M410" s="18">
        <f>IF(A410="","",J410+L410)</f>
        <v/>
      </c>
      <c r="N410" s="18" t="n"/>
      <c r="O410" s="18">
        <f>IF(A410="","",M410-N410)</f>
        <v/>
      </c>
      <c r="P410" s="17" t="n"/>
    </row>
    <row r="411">
      <c r="A411" s="17" t="n"/>
      <c r="B411" s="17" t="n"/>
      <c r="C411" s="17" t="n"/>
      <c r="D411" s="17" t="n"/>
      <c r="E411" s="17" t="n"/>
      <c r="F411" s="16" t="n"/>
      <c r="G411" s="17" t="n"/>
      <c r="H411" s="17">
        <f>IF(A411="","",COUNTIF(Leads!$P$2:$P$501,A411))</f>
        <v/>
      </c>
      <c r="I411" s="17">
        <f>IF(A411="","",COUNTIFS(Leads!$P$2:$P$501,A411,Leads!$I$2:$I$501,"Won",Leads!$N$2:$N$501,"&gt;="&amp;Settings!$B$7))</f>
        <v/>
      </c>
      <c r="J411" s="18">
        <f>IF(A411="","",SUMIF(Leads!$P$2:$P$501,A411,Leads!$Q$2:$Q$501))</f>
        <v/>
      </c>
      <c r="K411" s="18">
        <f>IF(A411="","",SUMIF(Leads!$P$2:$P$501,A411,Leads!$R$2:$R$501))</f>
        <v/>
      </c>
      <c r="L411" s="18">
        <f>IF(A411="","",IF(I411&gt;=3,Settings!$B$6,0))</f>
        <v/>
      </c>
      <c r="M411" s="18">
        <f>IF(A411="","",J411+L411)</f>
        <v/>
      </c>
      <c r="N411" s="18" t="n"/>
      <c r="O411" s="18">
        <f>IF(A411="","",M411-N411)</f>
        <v/>
      </c>
      <c r="P411" s="17" t="n"/>
    </row>
    <row r="412">
      <c r="A412" s="17" t="n"/>
      <c r="B412" s="17" t="n"/>
      <c r="C412" s="17" t="n"/>
      <c r="D412" s="17" t="n"/>
      <c r="E412" s="17" t="n"/>
      <c r="F412" s="16" t="n"/>
      <c r="G412" s="17" t="n"/>
      <c r="H412" s="17">
        <f>IF(A412="","",COUNTIF(Leads!$P$2:$P$501,A412))</f>
        <v/>
      </c>
      <c r="I412" s="17">
        <f>IF(A412="","",COUNTIFS(Leads!$P$2:$P$501,A412,Leads!$I$2:$I$501,"Won",Leads!$N$2:$N$501,"&gt;="&amp;Settings!$B$7))</f>
        <v/>
      </c>
      <c r="J412" s="18">
        <f>IF(A412="","",SUMIF(Leads!$P$2:$P$501,A412,Leads!$Q$2:$Q$501))</f>
        <v/>
      </c>
      <c r="K412" s="18">
        <f>IF(A412="","",SUMIF(Leads!$P$2:$P$501,A412,Leads!$R$2:$R$501))</f>
        <v/>
      </c>
      <c r="L412" s="18">
        <f>IF(A412="","",IF(I412&gt;=3,Settings!$B$6,0))</f>
        <v/>
      </c>
      <c r="M412" s="18">
        <f>IF(A412="","",J412+L412)</f>
        <v/>
      </c>
      <c r="N412" s="18" t="n"/>
      <c r="O412" s="18">
        <f>IF(A412="","",M412-N412)</f>
        <v/>
      </c>
      <c r="P412" s="17" t="n"/>
    </row>
    <row r="413">
      <c r="A413" s="17" t="n"/>
      <c r="B413" s="17" t="n"/>
      <c r="C413" s="17" t="n"/>
      <c r="D413" s="17" t="n"/>
      <c r="E413" s="17" t="n"/>
      <c r="F413" s="16" t="n"/>
      <c r="G413" s="17" t="n"/>
      <c r="H413" s="17">
        <f>IF(A413="","",COUNTIF(Leads!$P$2:$P$501,A413))</f>
        <v/>
      </c>
      <c r="I413" s="17">
        <f>IF(A413="","",COUNTIFS(Leads!$P$2:$P$501,A413,Leads!$I$2:$I$501,"Won",Leads!$N$2:$N$501,"&gt;="&amp;Settings!$B$7))</f>
        <v/>
      </c>
      <c r="J413" s="18">
        <f>IF(A413="","",SUMIF(Leads!$P$2:$P$501,A413,Leads!$Q$2:$Q$501))</f>
        <v/>
      </c>
      <c r="K413" s="18">
        <f>IF(A413="","",SUMIF(Leads!$P$2:$P$501,A413,Leads!$R$2:$R$501))</f>
        <v/>
      </c>
      <c r="L413" s="18">
        <f>IF(A413="","",IF(I413&gt;=3,Settings!$B$6,0))</f>
        <v/>
      </c>
      <c r="M413" s="18">
        <f>IF(A413="","",J413+L413)</f>
        <v/>
      </c>
      <c r="N413" s="18" t="n"/>
      <c r="O413" s="18">
        <f>IF(A413="","",M413-N413)</f>
        <v/>
      </c>
      <c r="P413" s="17" t="n"/>
    </row>
    <row r="414">
      <c r="A414" s="17" t="n"/>
      <c r="B414" s="17" t="n"/>
      <c r="C414" s="17" t="n"/>
      <c r="D414" s="17" t="n"/>
      <c r="E414" s="17" t="n"/>
      <c r="F414" s="16" t="n"/>
      <c r="G414" s="17" t="n"/>
      <c r="H414" s="17">
        <f>IF(A414="","",COUNTIF(Leads!$P$2:$P$501,A414))</f>
        <v/>
      </c>
      <c r="I414" s="17">
        <f>IF(A414="","",COUNTIFS(Leads!$P$2:$P$501,A414,Leads!$I$2:$I$501,"Won",Leads!$N$2:$N$501,"&gt;="&amp;Settings!$B$7))</f>
        <v/>
      </c>
      <c r="J414" s="18">
        <f>IF(A414="","",SUMIF(Leads!$P$2:$P$501,A414,Leads!$Q$2:$Q$501))</f>
        <v/>
      </c>
      <c r="K414" s="18">
        <f>IF(A414="","",SUMIF(Leads!$P$2:$P$501,A414,Leads!$R$2:$R$501))</f>
        <v/>
      </c>
      <c r="L414" s="18">
        <f>IF(A414="","",IF(I414&gt;=3,Settings!$B$6,0))</f>
        <v/>
      </c>
      <c r="M414" s="18">
        <f>IF(A414="","",J414+L414)</f>
        <v/>
      </c>
      <c r="N414" s="18" t="n"/>
      <c r="O414" s="18">
        <f>IF(A414="","",M414-N414)</f>
        <v/>
      </c>
      <c r="P414" s="17" t="n"/>
    </row>
    <row r="415">
      <c r="A415" s="17" t="n"/>
      <c r="B415" s="17" t="n"/>
      <c r="C415" s="17" t="n"/>
      <c r="D415" s="17" t="n"/>
      <c r="E415" s="17" t="n"/>
      <c r="F415" s="16" t="n"/>
      <c r="G415" s="17" t="n"/>
      <c r="H415" s="17">
        <f>IF(A415="","",COUNTIF(Leads!$P$2:$P$501,A415))</f>
        <v/>
      </c>
      <c r="I415" s="17">
        <f>IF(A415="","",COUNTIFS(Leads!$P$2:$P$501,A415,Leads!$I$2:$I$501,"Won",Leads!$N$2:$N$501,"&gt;="&amp;Settings!$B$7))</f>
        <v/>
      </c>
      <c r="J415" s="18">
        <f>IF(A415="","",SUMIF(Leads!$P$2:$P$501,A415,Leads!$Q$2:$Q$501))</f>
        <v/>
      </c>
      <c r="K415" s="18">
        <f>IF(A415="","",SUMIF(Leads!$P$2:$P$501,A415,Leads!$R$2:$R$501))</f>
        <v/>
      </c>
      <c r="L415" s="18">
        <f>IF(A415="","",IF(I415&gt;=3,Settings!$B$6,0))</f>
        <v/>
      </c>
      <c r="M415" s="18">
        <f>IF(A415="","",J415+L415)</f>
        <v/>
      </c>
      <c r="N415" s="18" t="n"/>
      <c r="O415" s="18">
        <f>IF(A415="","",M415-N415)</f>
        <v/>
      </c>
      <c r="P415" s="17" t="n"/>
    </row>
    <row r="416">
      <c r="A416" s="17" t="n"/>
      <c r="B416" s="17" t="n"/>
      <c r="C416" s="17" t="n"/>
      <c r="D416" s="17" t="n"/>
      <c r="E416" s="17" t="n"/>
      <c r="F416" s="16" t="n"/>
      <c r="G416" s="17" t="n"/>
      <c r="H416" s="17">
        <f>IF(A416="","",COUNTIF(Leads!$P$2:$P$501,A416))</f>
        <v/>
      </c>
      <c r="I416" s="17">
        <f>IF(A416="","",COUNTIFS(Leads!$P$2:$P$501,A416,Leads!$I$2:$I$501,"Won",Leads!$N$2:$N$501,"&gt;="&amp;Settings!$B$7))</f>
        <v/>
      </c>
      <c r="J416" s="18">
        <f>IF(A416="","",SUMIF(Leads!$P$2:$P$501,A416,Leads!$Q$2:$Q$501))</f>
        <v/>
      </c>
      <c r="K416" s="18">
        <f>IF(A416="","",SUMIF(Leads!$P$2:$P$501,A416,Leads!$R$2:$R$501))</f>
        <v/>
      </c>
      <c r="L416" s="18">
        <f>IF(A416="","",IF(I416&gt;=3,Settings!$B$6,0))</f>
        <v/>
      </c>
      <c r="M416" s="18">
        <f>IF(A416="","",J416+L416)</f>
        <v/>
      </c>
      <c r="N416" s="18" t="n"/>
      <c r="O416" s="18">
        <f>IF(A416="","",M416-N416)</f>
        <v/>
      </c>
      <c r="P416" s="17" t="n"/>
    </row>
    <row r="417">
      <c r="A417" s="17" t="n"/>
      <c r="B417" s="17" t="n"/>
      <c r="C417" s="17" t="n"/>
      <c r="D417" s="17" t="n"/>
      <c r="E417" s="17" t="n"/>
      <c r="F417" s="16" t="n"/>
      <c r="G417" s="17" t="n"/>
      <c r="H417" s="17">
        <f>IF(A417="","",COUNTIF(Leads!$P$2:$P$501,A417))</f>
        <v/>
      </c>
      <c r="I417" s="17">
        <f>IF(A417="","",COUNTIFS(Leads!$P$2:$P$501,A417,Leads!$I$2:$I$501,"Won",Leads!$N$2:$N$501,"&gt;="&amp;Settings!$B$7))</f>
        <v/>
      </c>
      <c r="J417" s="18">
        <f>IF(A417="","",SUMIF(Leads!$P$2:$P$501,A417,Leads!$Q$2:$Q$501))</f>
        <v/>
      </c>
      <c r="K417" s="18">
        <f>IF(A417="","",SUMIF(Leads!$P$2:$P$501,A417,Leads!$R$2:$R$501))</f>
        <v/>
      </c>
      <c r="L417" s="18">
        <f>IF(A417="","",IF(I417&gt;=3,Settings!$B$6,0))</f>
        <v/>
      </c>
      <c r="M417" s="18">
        <f>IF(A417="","",J417+L417)</f>
        <v/>
      </c>
      <c r="N417" s="18" t="n"/>
      <c r="O417" s="18">
        <f>IF(A417="","",M417-N417)</f>
        <v/>
      </c>
      <c r="P417" s="17" t="n"/>
    </row>
    <row r="418">
      <c r="A418" s="17" t="n"/>
      <c r="B418" s="17" t="n"/>
      <c r="C418" s="17" t="n"/>
      <c r="D418" s="17" t="n"/>
      <c r="E418" s="17" t="n"/>
      <c r="F418" s="16" t="n"/>
      <c r="G418" s="17" t="n"/>
      <c r="H418" s="17">
        <f>IF(A418="","",COUNTIF(Leads!$P$2:$P$501,A418))</f>
        <v/>
      </c>
      <c r="I418" s="17">
        <f>IF(A418="","",COUNTIFS(Leads!$P$2:$P$501,A418,Leads!$I$2:$I$501,"Won",Leads!$N$2:$N$501,"&gt;="&amp;Settings!$B$7))</f>
        <v/>
      </c>
      <c r="J418" s="18">
        <f>IF(A418="","",SUMIF(Leads!$P$2:$P$501,A418,Leads!$Q$2:$Q$501))</f>
        <v/>
      </c>
      <c r="K418" s="18">
        <f>IF(A418="","",SUMIF(Leads!$P$2:$P$501,A418,Leads!$R$2:$R$501))</f>
        <v/>
      </c>
      <c r="L418" s="18">
        <f>IF(A418="","",IF(I418&gt;=3,Settings!$B$6,0))</f>
        <v/>
      </c>
      <c r="M418" s="18">
        <f>IF(A418="","",J418+L418)</f>
        <v/>
      </c>
      <c r="N418" s="18" t="n"/>
      <c r="O418" s="18">
        <f>IF(A418="","",M418-N418)</f>
        <v/>
      </c>
      <c r="P418" s="17" t="n"/>
    </row>
    <row r="419">
      <c r="A419" s="17" t="n"/>
      <c r="B419" s="17" t="n"/>
      <c r="C419" s="17" t="n"/>
      <c r="D419" s="17" t="n"/>
      <c r="E419" s="17" t="n"/>
      <c r="F419" s="16" t="n"/>
      <c r="G419" s="17" t="n"/>
      <c r="H419" s="17">
        <f>IF(A419="","",COUNTIF(Leads!$P$2:$P$501,A419))</f>
        <v/>
      </c>
      <c r="I419" s="17">
        <f>IF(A419="","",COUNTIFS(Leads!$P$2:$P$501,A419,Leads!$I$2:$I$501,"Won",Leads!$N$2:$N$501,"&gt;="&amp;Settings!$B$7))</f>
        <v/>
      </c>
      <c r="J419" s="18">
        <f>IF(A419="","",SUMIF(Leads!$P$2:$P$501,A419,Leads!$Q$2:$Q$501))</f>
        <v/>
      </c>
      <c r="K419" s="18">
        <f>IF(A419="","",SUMIF(Leads!$P$2:$P$501,A419,Leads!$R$2:$R$501))</f>
        <v/>
      </c>
      <c r="L419" s="18">
        <f>IF(A419="","",IF(I419&gt;=3,Settings!$B$6,0))</f>
        <v/>
      </c>
      <c r="M419" s="18">
        <f>IF(A419="","",J419+L419)</f>
        <v/>
      </c>
      <c r="N419" s="18" t="n"/>
      <c r="O419" s="18">
        <f>IF(A419="","",M419-N419)</f>
        <v/>
      </c>
      <c r="P419" s="17" t="n"/>
    </row>
    <row r="420">
      <c r="A420" s="17" t="n"/>
      <c r="B420" s="17" t="n"/>
      <c r="C420" s="17" t="n"/>
      <c r="D420" s="17" t="n"/>
      <c r="E420" s="17" t="n"/>
      <c r="F420" s="16" t="n"/>
      <c r="G420" s="17" t="n"/>
      <c r="H420" s="17">
        <f>IF(A420="","",COUNTIF(Leads!$P$2:$P$501,A420))</f>
        <v/>
      </c>
      <c r="I420" s="17">
        <f>IF(A420="","",COUNTIFS(Leads!$P$2:$P$501,A420,Leads!$I$2:$I$501,"Won",Leads!$N$2:$N$501,"&gt;="&amp;Settings!$B$7))</f>
        <v/>
      </c>
      <c r="J420" s="18">
        <f>IF(A420="","",SUMIF(Leads!$P$2:$P$501,A420,Leads!$Q$2:$Q$501))</f>
        <v/>
      </c>
      <c r="K420" s="18">
        <f>IF(A420="","",SUMIF(Leads!$P$2:$P$501,A420,Leads!$R$2:$R$501))</f>
        <v/>
      </c>
      <c r="L420" s="18">
        <f>IF(A420="","",IF(I420&gt;=3,Settings!$B$6,0))</f>
        <v/>
      </c>
      <c r="M420" s="18">
        <f>IF(A420="","",J420+L420)</f>
        <v/>
      </c>
      <c r="N420" s="18" t="n"/>
      <c r="O420" s="18">
        <f>IF(A420="","",M420-N420)</f>
        <v/>
      </c>
      <c r="P420" s="17" t="n"/>
    </row>
    <row r="421">
      <c r="A421" s="17" t="n"/>
      <c r="B421" s="17" t="n"/>
      <c r="C421" s="17" t="n"/>
      <c r="D421" s="17" t="n"/>
      <c r="E421" s="17" t="n"/>
      <c r="F421" s="16" t="n"/>
      <c r="G421" s="17" t="n"/>
      <c r="H421" s="17">
        <f>IF(A421="","",COUNTIF(Leads!$P$2:$P$501,A421))</f>
        <v/>
      </c>
      <c r="I421" s="17">
        <f>IF(A421="","",COUNTIFS(Leads!$P$2:$P$501,A421,Leads!$I$2:$I$501,"Won",Leads!$N$2:$N$501,"&gt;="&amp;Settings!$B$7))</f>
        <v/>
      </c>
      <c r="J421" s="18">
        <f>IF(A421="","",SUMIF(Leads!$P$2:$P$501,A421,Leads!$Q$2:$Q$501))</f>
        <v/>
      </c>
      <c r="K421" s="18">
        <f>IF(A421="","",SUMIF(Leads!$P$2:$P$501,A421,Leads!$R$2:$R$501))</f>
        <v/>
      </c>
      <c r="L421" s="18">
        <f>IF(A421="","",IF(I421&gt;=3,Settings!$B$6,0))</f>
        <v/>
      </c>
      <c r="M421" s="18">
        <f>IF(A421="","",J421+L421)</f>
        <v/>
      </c>
      <c r="N421" s="18" t="n"/>
      <c r="O421" s="18">
        <f>IF(A421="","",M421-N421)</f>
        <v/>
      </c>
      <c r="P421" s="17" t="n"/>
    </row>
    <row r="422">
      <c r="A422" s="17" t="n"/>
      <c r="B422" s="17" t="n"/>
      <c r="C422" s="17" t="n"/>
      <c r="D422" s="17" t="n"/>
      <c r="E422" s="17" t="n"/>
      <c r="F422" s="16" t="n"/>
      <c r="G422" s="17" t="n"/>
      <c r="H422" s="17">
        <f>IF(A422="","",COUNTIF(Leads!$P$2:$P$501,A422))</f>
        <v/>
      </c>
      <c r="I422" s="17">
        <f>IF(A422="","",COUNTIFS(Leads!$P$2:$P$501,A422,Leads!$I$2:$I$501,"Won",Leads!$N$2:$N$501,"&gt;="&amp;Settings!$B$7))</f>
        <v/>
      </c>
      <c r="J422" s="18">
        <f>IF(A422="","",SUMIF(Leads!$P$2:$P$501,A422,Leads!$Q$2:$Q$501))</f>
        <v/>
      </c>
      <c r="K422" s="18">
        <f>IF(A422="","",SUMIF(Leads!$P$2:$P$501,A422,Leads!$R$2:$R$501))</f>
        <v/>
      </c>
      <c r="L422" s="18">
        <f>IF(A422="","",IF(I422&gt;=3,Settings!$B$6,0))</f>
        <v/>
      </c>
      <c r="M422" s="18">
        <f>IF(A422="","",J422+L422)</f>
        <v/>
      </c>
      <c r="N422" s="18" t="n"/>
      <c r="O422" s="18">
        <f>IF(A422="","",M422-N422)</f>
        <v/>
      </c>
      <c r="P422" s="17" t="n"/>
    </row>
    <row r="423">
      <c r="A423" s="17" t="n"/>
      <c r="B423" s="17" t="n"/>
      <c r="C423" s="17" t="n"/>
      <c r="D423" s="17" t="n"/>
      <c r="E423" s="17" t="n"/>
      <c r="F423" s="16" t="n"/>
      <c r="G423" s="17" t="n"/>
      <c r="H423" s="17">
        <f>IF(A423="","",COUNTIF(Leads!$P$2:$P$501,A423))</f>
        <v/>
      </c>
      <c r="I423" s="17">
        <f>IF(A423="","",COUNTIFS(Leads!$P$2:$P$501,A423,Leads!$I$2:$I$501,"Won",Leads!$N$2:$N$501,"&gt;="&amp;Settings!$B$7))</f>
        <v/>
      </c>
      <c r="J423" s="18">
        <f>IF(A423="","",SUMIF(Leads!$P$2:$P$501,A423,Leads!$Q$2:$Q$501))</f>
        <v/>
      </c>
      <c r="K423" s="18">
        <f>IF(A423="","",SUMIF(Leads!$P$2:$P$501,A423,Leads!$R$2:$R$501))</f>
        <v/>
      </c>
      <c r="L423" s="18">
        <f>IF(A423="","",IF(I423&gt;=3,Settings!$B$6,0))</f>
        <v/>
      </c>
      <c r="M423" s="18">
        <f>IF(A423="","",J423+L423)</f>
        <v/>
      </c>
      <c r="N423" s="18" t="n"/>
      <c r="O423" s="18">
        <f>IF(A423="","",M423-N423)</f>
        <v/>
      </c>
      <c r="P423" s="17" t="n"/>
    </row>
    <row r="424">
      <c r="A424" s="17" t="n"/>
      <c r="B424" s="17" t="n"/>
      <c r="C424" s="17" t="n"/>
      <c r="D424" s="17" t="n"/>
      <c r="E424" s="17" t="n"/>
      <c r="F424" s="16" t="n"/>
      <c r="G424" s="17" t="n"/>
      <c r="H424" s="17">
        <f>IF(A424="","",COUNTIF(Leads!$P$2:$P$501,A424))</f>
        <v/>
      </c>
      <c r="I424" s="17">
        <f>IF(A424="","",COUNTIFS(Leads!$P$2:$P$501,A424,Leads!$I$2:$I$501,"Won",Leads!$N$2:$N$501,"&gt;="&amp;Settings!$B$7))</f>
        <v/>
      </c>
      <c r="J424" s="18">
        <f>IF(A424="","",SUMIF(Leads!$P$2:$P$501,A424,Leads!$Q$2:$Q$501))</f>
        <v/>
      </c>
      <c r="K424" s="18">
        <f>IF(A424="","",SUMIF(Leads!$P$2:$P$501,A424,Leads!$R$2:$R$501))</f>
        <v/>
      </c>
      <c r="L424" s="18">
        <f>IF(A424="","",IF(I424&gt;=3,Settings!$B$6,0))</f>
        <v/>
      </c>
      <c r="M424" s="18">
        <f>IF(A424="","",J424+L424)</f>
        <v/>
      </c>
      <c r="N424" s="18" t="n"/>
      <c r="O424" s="18">
        <f>IF(A424="","",M424-N424)</f>
        <v/>
      </c>
      <c r="P424" s="17" t="n"/>
    </row>
    <row r="425">
      <c r="A425" s="17" t="n"/>
      <c r="B425" s="17" t="n"/>
      <c r="C425" s="17" t="n"/>
      <c r="D425" s="17" t="n"/>
      <c r="E425" s="17" t="n"/>
      <c r="F425" s="16" t="n"/>
      <c r="G425" s="17" t="n"/>
      <c r="H425" s="17">
        <f>IF(A425="","",COUNTIF(Leads!$P$2:$P$501,A425))</f>
        <v/>
      </c>
      <c r="I425" s="17">
        <f>IF(A425="","",COUNTIFS(Leads!$P$2:$P$501,A425,Leads!$I$2:$I$501,"Won",Leads!$N$2:$N$501,"&gt;="&amp;Settings!$B$7))</f>
        <v/>
      </c>
      <c r="J425" s="18">
        <f>IF(A425="","",SUMIF(Leads!$P$2:$P$501,A425,Leads!$Q$2:$Q$501))</f>
        <v/>
      </c>
      <c r="K425" s="18">
        <f>IF(A425="","",SUMIF(Leads!$P$2:$P$501,A425,Leads!$R$2:$R$501))</f>
        <v/>
      </c>
      <c r="L425" s="18">
        <f>IF(A425="","",IF(I425&gt;=3,Settings!$B$6,0))</f>
        <v/>
      </c>
      <c r="M425" s="18">
        <f>IF(A425="","",J425+L425)</f>
        <v/>
      </c>
      <c r="N425" s="18" t="n"/>
      <c r="O425" s="18">
        <f>IF(A425="","",M425-N425)</f>
        <v/>
      </c>
      <c r="P425" s="17" t="n"/>
    </row>
    <row r="426">
      <c r="A426" s="17" t="n"/>
      <c r="B426" s="17" t="n"/>
      <c r="C426" s="17" t="n"/>
      <c r="D426" s="17" t="n"/>
      <c r="E426" s="17" t="n"/>
      <c r="F426" s="16" t="n"/>
      <c r="G426" s="17" t="n"/>
      <c r="H426" s="17">
        <f>IF(A426="","",COUNTIF(Leads!$P$2:$P$501,A426))</f>
        <v/>
      </c>
      <c r="I426" s="17">
        <f>IF(A426="","",COUNTIFS(Leads!$P$2:$P$501,A426,Leads!$I$2:$I$501,"Won",Leads!$N$2:$N$501,"&gt;="&amp;Settings!$B$7))</f>
        <v/>
      </c>
      <c r="J426" s="18">
        <f>IF(A426="","",SUMIF(Leads!$P$2:$P$501,A426,Leads!$Q$2:$Q$501))</f>
        <v/>
      </c>
      <c r="K426" s="18">
        <f>IF(A426="","",SUMIF(Leads!$P$2:$P$501,A426,Leads!$R$2:$R$501))</f>
        <v/>
      </c>
      <c r="L426" s="18">
        <f>IF(A426="","",IF(I426&gt;=3,Settings!$B$6,0))</f>
        <v/>
      </c>
      <c r="M426" s="18">
        <f>IF(A426="","",J426+L426)</f>
        <v/>
      </c>
      <c r="N426" s="18" t="n"/>
      <c r="O426" s="18">
        <f>IF(A426="","",M426-N426)</f>
        <v/>
      </c>
      <c r="P426" s="17" t="n"/>
    </row>
    <row r="427">
      <c r="A427" s="17" t="n"/>
      <c r="B427" s="17" t="n"/>
      <c r="C427" s="17" t="n"/>
      <c r="D427" s="17" t="n"/>
      <c r="E427" s="17" t="n"/>
      <c r="F427" s="16" t="n"/>
      <c r="G427" s="17" t="n"/>
      <c r="H427" s="17">
        <f>IF(A427="","",COUNTIF(Leads!$P$2:$P$501,A427))</f>
        <v/>
      </c>
      <c r="I427" s="17">
        <f>IF(A427="","",COUNTIFS(Leads!$P$2:$P$501,A427,Leads!$I$2:$I$501,"Won",Leads!$N$2:$N$501,"&gt;="&amp;Settings!$B$7))</f>
        <v/>
      </c>
      <c r="J427" s="18">
        <f>IF(A427="","",SUMIF(Leads!$P$2:$P$501,A427,Leads!$Q$2:$Q$501))</f>
        <v/>
      </c>
      <c r="K427" s="18">
        <f>IF(A427="","",SUMIF(Leads!$P$2:$P$501,A427,Leads!$R$2:$R$501))</f>
        <v/>
      </c>
      <c r="L427" s="18">
        <f>IF(A427="","",IF(I427&gt;=3,Settings!$B$6,0))</f>
        <v/>
      </c>
      <c r="M427" s="18">
        <f>IF(A427="","",J427+L427)</f>
        <v/>
      </c>
      <c r="N427" s="18" t="n"/>
      <c r="O427" s="18">
        <f>IF(A427="","",M427-N427)</f>
        <v/>
      </c>
      <c r="P427" s="17" t="n"/>
    </row>
    <row r="428">
      <c r="A428" s="17" t="n"/>
      <c r="B428" s="17" t="n"/>
      <c r="C428" s="17" t="n"/>
      <c r="D428" s="17" t="n"/>
      <c r="E428" s="17" t="n"/>
      <c r="F428" s="16" t="n"/>
      <c r="G428" s="17" t="n"/>
      <c r="H428" s="17">
        <f>IF(A428="","",COUNTIF(Leads!$P$2:$P$501,A428))</f>
        <v/>
      </c>
      <c r="I428" s="17">
        <f>IF(A428="","",COUNTIFS(Leads!$P$2:$P$501,A428,Leads!$I$2:$I$501,"Won",Leads!$N$2:$N$501,"&gt;="&amp;Settings!$B$7))</f>
        <v/>
      </c>
      <c r="J428" s="18">
        <f>IF(A428="","",SUMIF(Leads!$P$2:$P$501,A428,Leads!$Q$2:$Q$501))</f>
        <v/>
      </c>
      <c r="K428" s="18">
        <f>IF(A428="","",SUMIF(Leads!$P$2:$P$501,A428,Leads!$R$2:$R$501))</f>
        <v/>
      </c>
      <c r="L428" s="18">
        <f>IF(A428="","",IF(I428&gt;=3,Settings!$B$6,0))</f>
        <v/>
      </c>
      <c r="M428" s="18">
        <f>IF(A428="","",J428+L428)</f>
        <v/>
      </c>
      <c r="N428" s="18" t="n"/>
      <c r="O428" s="18">
        <f>IF(A428="","",M428-N428)</f>
        <v/>
      </c>
      <c r="P428" s="17" t="n"/>
    </row>
    <row r="429">
      <c r="A429" s="17" t="n"/>
      <c r="B429" s="17" t="n"/>
      <c r="C429" s="17" t="n"/>
      <c r="D429" s="17" t="n"/>
      <c r="E429" s="17" t="n"/>
      <c r="F429" s="16" t="n"/>
      <c r="G429" s="17" t="n"/>
      <c r="H429" s="17">
        <f>IF(A429="","",COUNTIF(Leads!$P$2:$P$501,A429))</f>
        <v/>
      </c>
      <c r="I429" s="17">
        <f>IF(A429="","",COUNTIFS(Leads!$P$2:$P$501,A429,Leads!$I$2:$I$501,"Won",Leads!$N$2:$N$501,"&gt;="&amp;Settings!$B$7))</f>
        <v/>
      </c>
      <c r="J429" s="18">
        <f>IF(A429="","",SUMIF(Leads!$P$2:$P$501,A429,Leads!$Q$2:$Q$501))</f>
        <v/>
      </c>
      <c r="K429" s="18">
        <f>IF(A429="","",SUMIF(Leads!$P$2:$P$501,A429,Leads!$R$2:$R$501))</f>
        <v/>
      </c>
      <c r="L429" s="18">
        <f>IF(A429="","",IF(I429&gt;=3,Settings!$B$6,0))</f>
        <v/>
      </c>
      <c r="M429" s="18">
        <f>IF(A429="","",J429+L429)</f>
        <v/>
      </c>
      <c r="N429" s="18" t="n"/>
      <c r="O429" s="18">
        <f>IF(A429="","",M429-N429)</f>
        <v/>
      </c>
      <c r="P429" s="17" t="n"/>
    </row>
    <row r="430">
      <c r="A430" s="17" t="n"/>
      <c r="B430" s="17" t="n"/>
      <c r="C430" s="17" t="n"/>
      <c r="D430" s="17" t="n"/>
      <c r="E430" s="17" t="n"/>
      <c r="F430" s="16" t="n"/>
      <c r="G430" s="17" t="n"/>
      <c r="H430" s="17">
        <f>IF(A430="","",COUNTIF(Leads!$P$2:$P$501,A430))</f>
        <v/>
      </c>
      <c r="I430" s="17">
        <f>IF(A430="","",COUNTIFS(Leads!$P$2:$P$501,A430,Leads!$I$2:$I$501,"Won",Leads!$N$2:$N$501,"&gt;="&amp;Settings!$B$7))</f>
        <v/>
      </c>
      <c r="J430" s="18">
        <f>IF(A430="","",SUMIF(Leads!$P$2:$P$501,A430,Leads!$Q$2:$Q$501))</f>
        <v/>
      </c>
      <c r="K430" s="18">
        <f>IF(A430="","",SUMIF(Leads!$P$2:$P$501,A430,Leads!$R$2:$R$501))</f>
        <v/>
      </c>
      <c r="L430" s="18">
        <f>IF(A430="","",IF(I430&gt;=3,Settings!$B$6,0))</f>
        <v/>
      </c>
      <c r="M430" s="18">
        <f>IF(A430="","",J430+L430)</f>
        <v/>
      </c>
      <c r="N430" s="18" t="n"/>
      <c r="O430" s="18">
        <f>IF(A430="","",M430-N430)</f>
        <v/>
      </c>
      <c r="P430" s="17" t="n"/>
    </row>
    <row r="431">
      <c r="A431" s="17" t="n"/>
      <c r="B431" s="17" t="n"/>
      <c r="C431" s="17" t="n"/>
      <c r="D431" s="17" t="n"/>
      <c r="E431" s="17" t="n"/>
      <c r="F431" s="16" t="n"/>
      <c r="G431" s="17" t="n"/>
      <c r="H431" s="17">
        <f>IF(A431="","",COUNTIF(Leads!$P$2:$P$501,A431))</f>
        <v/>
      </c>
      <c r="I431" s="17">
        <f>IF(A431="","",COUNTIFS(Leads!$P$2:$P$501,A431,Leads!$I$2:$I$501,"Won",Leads!$N$2:$N$501,"&gt;="&amp;Settings!$B$7))</f>
        <v/>
      </c>
      <c r="J431" s="18">
        <f>IF(A431="","",SUMIF(Leads!$P$2:$P$501,A431,Leads!$Q$2:$Q$501))</f>
        <v/>
      </c>
      <c r="K431" s="18">
        <f>IF(A431="","",SUMIF(Leads!$P$2:$P$501,A431,Leads!$R$2:$R$501))</f>
        <v/>
      </c>
      <c r="L431" s="18">
        <f>IF(A431="","",IF(I431&gt;=3,Settings!$B$6,0))</f>
        <v/>
      </c>
      <c r="M431" s="18">
        <f>IF(A431="","",J431+L431)</f>
        <v/>
      </c>
      <c r="N431" s="18" t="n"/>
      <c r="O431" s="18">
        <f>IF(A431="","",M431-N431)</f>
        <v/>
      </c>
      <c r="P431" s="17" t="n"/>
    </row>
    <row r="432">
      <c r="A432" s="17" t="n"/>
      <c r="B432" s="17" t="n"/>
      <c r="C432" s="17" t="n"/>
      <c r="D432" s="17" t="n"/>
      <c r="E432" s="17" t="n"/>
      <c r="F432" s="16" t="n"/>
      <c r="G432" s="17" t="n"/>
      <c r="H432" s="17">
        <f>IF(A432="","",COUNTIF(Leads!$P$2:$P$501,A432))</f>
        <v/>
      </c>
      <c r="I432" s="17">
        <f>IF(A432="","",COUNTIFS(Leads!$P$2:$P$501,A432,Leads!$I$2:$I$501,"Won",Leads!$N$2:$N$501,"&gt;="&amp;Settings!$B$7))</f>
        <v/>
      </c>
      <c r="J432" s="18">
        <f>IF(A432="","",SUMIF(Leads!$P$2:$P$501,A432,Leads!$Q$2:$Q$501))</f>
        <v/>
      </c>
      <c r="K432" s="18">
        <f>IF(A432="","",SUMIF(Leads!$P$2:$P$501,A432,Leads!$R$2:$R$501))</f>
        <v/>
      </c>
      <c r="L432" s="18">
        <f>IF(A432="","",IF(I432&gt;=3,Settings!$B$6,0))</f>
        <v/>
      </c>
      <c r="M432" s="18">
        <f>IF(A432="","",J432+L432)</f>
        <v/>
      </c>
      <c r="N432" s="18" t="n"/>
      <c r="O432" s="18">
        <f>IF(A432="","",M432-N432)</f>
        <v/>
      </c>
      <c r="P432" s="17" t="n"/>
    </row>
    <row r="433">
      <c r="A433" s="17" t="n"/>
      <c r="B433" s="17" t="n"/>
      <c r="C433" s="17" t="n"/>
      <c r="D433" s="17" t="n"/>
      <c r="E433" s="17" t="n"/>
      <c r="F433" s="16" t="n"/>
      <c r="G433" s="17" t="n"/>
      <c r="H433" s="17">
        <f>IF(A433="","",COUNTIF(Leads!$P$2:$P$501,A433))</f>
        <v/>
      </c>
      <c r="I433" s="17">
        <f>IF(A433="","",COUNTIFS(Leads!$P$2:$P$501,A433,Leads!$I$2:$I$501,"Won",Leads!$N$2:$N$501,"&gt;="&amp;Settings!$B$7))</f>
        <v/>
      </c>
      <c r="J433" s="18">
        <f>IF(A433="","",SUMIF(Leads!$P$2:$P$501,A433,Leads!$Q$2:$Q$501))</f>
        <v/>
      </c>
      <c r="K433" s="18">
        <f>IF(A433="","",SUMIF(Leads!$P$2:$P$501,A433,Leads!$R$2:$R$501))</f>
        <v/>
      </c>
      <c r="L433" s="18">
        <f>IF(A433="","",IF(I433&gt;=3,Settings!$B$6,0))</f>
        <v/>
      </c>
      <c r="M433" s="18">
        <f>IF(A433="","",J433+L433)</f>
        <v/>
      </c>
      <c r="N433" s="18" t="n"/>
      <c r="O433" s="18">
        <f>IF(A433="","",M433-N433)</f>
        <v/>
      </c>
      <c r="P433" s="17" t="n"/>
    </row>
    <row r="434">
      <c r="A434" s="17" t="n"/>
      <c r="B434" s="17" t="n"/>
      <c r="C434" s="17" t="n"/>
      <c r="D434" s="17" t="n"/>
      <c r="E434" s="17" t="n"/>
      <c r="F434" s="16" t="n"/>
      <c r="G434" s="17" t="n"/>
      <c r="H434" s="17">
        <f>IF(A434="","",COUNTIF(Leads!$P$2:$P$501,A434))</f>
        <v/>
      </c>
      <c r="I434" s="17">
        <f>IF(A434="","",COUNTIFS(Leads!$P$2:$P$501,A434,Leads!$I$2:$I$501,"Won",Leads!$N$2:$N$501,"&gt;="&amp;Settings!$B$7))</f>
        <v/>
      </c>
      <c r="J434" s="18">
        <f>IF(A434="","",SUMIF(Leads!$P$2:$P$501,A434,Leads!$Q$2:$Q$501))</f>
        <v/>
      </c>
      <c r="K434" s="18">
        <f>IF(A434="","",SUMIF(Leads!$P$2:$P$501,A434,Leads!$R$2:$R$501))</f>
        <v/>
      </c>
      <c r="L434" s="18">
        <f>IF(A434="","",IF(I434&gt;=3,Settings!$B$6,0))</f>
        <v/>
      </c>
      <c r="M434" s="18">
        <f>IF(A434="","",J434+L434)</f>
        <v/>
      </c>
      <c r="N434" s="18" t="n"/>
      <c r="O434" s="18">
        <f>IF(A434="","",M434-N434)</f>
        <v/>
      </c>
      <c r="P434" s="17" t="n"/>
    </row>
    <row r="435">
      <c r="A435" s="17" t="n"/>
      <c r="B435" s="17" t="n"/>
      <c r="C435" s="17" t="n"/>
      <c r="D435" s="17" t="n"/>
      <c r="E435" s="17" t="n"/>
      <c r="F435" s="16" t="n"/>
      <c r="G435" s="17" t="n"/>
      <c r="H435" s="17">
        <f>IF(A435="","",COUNTIF(Leads!$P$2:$P$501,A435))</f>
        <v/>
      </c>
      <c r="I435" s="17">
        <f>IF(A435="","",COUNTIFS(Leads!$P$2:$P$501,A435,Leads!$I$2:$I$501,"Won",Leads!$N$2:$N$501,"&gt;="&amp;Settings!$B$7))</f>
        <v/>
      </c>
      <c r="J435" s="18">
        <f>IF(A435="","",SUMIF(Leads!$P$2:$P$501,A435,Leads!$Q$2:$Q$501))</f>
        <v/>
      </c>
      <c r="K435" s="18">
        <f>IF(A435="","",SUMIF(Leads!$P$2:$P$501,A435,Leads!$R$2:$R$501))</f>
        <v/>
      </c>
      <c r="L435" s="18">
        <f>IF(A435="","",IF(I435&gt;=3,Settings!$B$6,0))</f>
        <v/>
      </c>
      <c r="M435" s="18">
        <f>IF(A435="","",J435+L435)</f>
        <v/>
      </c>
      <c r="N435" s="18" t="n"/>
      <c r="O435" s="18">
        <f>IF(A435="","",M435-N435)</f>
        <v/>
      </c>
      <c r="P435" s="17" t="n"/>
    </row>
    <row r="436">
      <c r="A436" s="17" t="n"/>
      <c r="B436" s="17" t="n"/>
      <c r="C436" s="17" t="n"/>
      <c r="D436" s="17" t="n"/>
      <c r="E436" s="17" t="n"/>
      <c r="F436" s="16" t="n"/>
      <c r="G436" s="17" t="n"/>
      <c r="H436" s="17">
        <f>IF(A436="","",COUNTIF(Leads!$P$2:$P$501,A436))</f>
        <v/>
      </c>
      <c r="I436" s="17">
        <f>IF(A436="","",COUNTIFS(Leads!$P$2:$P$501,A436,Leads!$I$2:$I$501,"Won",Leads!$N$2:$N$501,"&gt;="&amp;Settings!$B$7))</f>
        <v/>
      </c>
      <c r="J436" s="18">
        <f>IF(A436="","",SUMIF(Leads!$P$2:$P$501,A436,Leads!$Q$2:$Q$501))</f>
        <v/>
      </c>
      <c r="K436" s="18">
        <f>IF(A436="","",SUMIF(Leads!$P$2:$P$501,A436,Leads!$R$2:$R$501))</f>
        <v/>
      </c>
      <c r="L436" s="18">
        <f>IF(A436="","",IF(I436&gt;=3,Settings!$B$6,0))</f>
        <v/>
      </c>
      <c r="M436" s="18">
        <f>IF(A436="","",J436+L436)</f>
        <v/>
      </c>
      <c r="N436" s="18" t="n"/>
      <c r="O436" s="18">
        <f>IF(A436="","",M436-N436)</f>
        <v/>
      </c>
      <c r="P436" s="17" t="n"/>
    </row>
    <row r="437">
      <c r="A437" s="17" t="n"/>
      <c r="B437" s="17" t="n"/>
      <c r="C437" s="17" t="n"/>
      <c r="D437" s="17" t="n"/>
      <c r="E437" s="17" t="n"/>
      <c r="F437" s="16" t="n"/>
      <c r="G437" s="17" t="n"/>
      <c r="H437" s="17">
        <f>IF(A437="","",COUNTIF(Leads!$P$2:$P$501,A437))</f>
        <v/>
      </c>
      <c r="I437" s="17">
        <f>IF(A437="","",COUNTIFS(Leads!$P$2:$P$501,A437,Leads!$I$2:$I$501,"Won",Leads!$N$2:$N$501,"&gt;="&amp;Settings!$B$7))</f>
        <v/>
      </c>
      <c r="J437" s="18">
        <f>IF(A437="","",SUMIF(Leads!$P$2:$P$501,A437,Leads!$Q$2:$Q$501))</f>
        <v/>
      </c>
      <c r="K437" s="18">
        <f>IF(A437="","",SUMIF(Leads!$P$2:$P$501,A437,Leads!$R$2:$R$501))</f>
        <v/>
      </c>
      <c r="L437" s="18">
        <f>IF(A437="","",IF(I437&gt;=3,Settings!$B$6,0))</f>
        <v/>
      </c>
      <c r="M437" s="18">
        <f>IF(A437="","",J437+L437)</f>
        <v/>
      </c>
      <c r="N437" s="18" t="n"/>
      <c r="O437" s="18">
        <f>IF(A437="","",M437-N437)</f>
        <v/>
      </c>
      <c r="P437" s="17" t="n"/>
    </row>
    <row r="438">
      <c r="A438" s="17" t="n"/>
      <c r="B438" s="17" t="n"/>
      <c r="C438" s="17" t="n"/>
      <c r="D438" s="17" t="n"/>
      <c r="E438" s="17" t="n"/>
      <c r="F438" s="16" t="n"/>
      <c r="G438" s="17" t="n"/>
      <c r="H438" s="17">
        <f>IF(A438="","",COUNTIF(Leads!$P$2:$P$501,A438))</f>
        <v/>
      </c>
      <c r="I438" s="17">
        <f>IF(A438="","",COUNTIFS(Leads!$P$2:$P$501,A438,Leads!$I$2:$I$501,"Won",Leads!$N$2:$N$501,"&gt;="&amp;Settings!$B$7))</f>
        <v/>
      </c>
      <c r="J438" s="18">
        <f>IF(A438="","",SUMIF(Leads!$P$2:$P$501,A438,Leads!$Q$2:$Q$501))</f>
        <v/>
      </c>
      <c r="K438" s="18">
        <f>IF(A438="","",SUMIF(Leads!$P$2:$P$501,A438,Leads!$R$2:$R$501))</f>
        <v/>
      </c>
      <c r="L438" s="18">
        <f>IF(A438="","",IF(I438&gt;=3,Settings!$B$6,0))</f>
        <v/>
      </c>
      <c r="M438" s="18">
        <f>IF(A438="","",J438+L438)</f>
        <v/>
      </c>
      <c r="N438" s="18" t="n"/>
      <c r="O438" s="18">
        <f>IF(A438="","",M438-N438)</f>
        <v/>
      </c>
      <c r="P438" s="17" t="n"/>
    </row>
    <row r="439">
      <c r="A439" s="17" t="n"/>
      <c r="B439" s="17" t="n"/>
      <c r="C439" s="17" t="n"/>
      <c r="D439" s="17" t="n"/>
      <c r="E439" s="17" t="n"/>
      <c r="F439" s="16" t="n"/>
      <c r="G439" s="17" t="n"/>
      <c r="H439" s="17">
        <f>IF(A439="","",COUNTIF(Leads!$P$2:$P$501,A439))</f>
        <v/>
      </c>
      <c r="I439" s="17">
        <f>IF(A439="","",COUNTIFS(Leads!$P$2:$P$501,A439,Leads!$I$2:$I$501,"Won",Leads!$N$2:$N$501,"&gt;="&amp;Settings!$B$7))</f>
        <v/>
      </c>
      <c r="J439" s="18">
        <f>IF(A439="","",SUMIF(Leads!$P$2:$P$501,A439,Leads!$Q$2:$Q$501))</f>
        <v/>
      </c>
      <c r="K439" s="18">
        <f>IF(A439="","",SUMIF(Leads!$P$2:$P$501,A439,Leads!$R$2:$R$501))</f>
        <v/>
      </c>
      <c r="L439" s="18">
        <f>IF(A439="","",IF(I439&gt;=3,Settings!$B$6,0))</f>
        <v/>
      </c>
      <c r="M439" s="18">
        <f>IF(A439="","",J439+L439)</f>
        <v/>
      </c>
      <c r="N439" s="18" t="n"/>
      <c r="O439" s="18">
        <f>IF(A439="","",M439-N439)</f>
        <v/>
      </c>
      <c r="P439" s="17" t="n"/>
    </row>
    <row r="440">
      <c r="A440" s="17" t="n"/>
      <c r="B440" s="17" t="n"/>
      <c r="C440" s="17" t="n"/>
      <c r="D440" s="17" t="n"/>
      <c r="E440" s="17" t="n"/>
      <c r="F440" s="16" t="n"/>
      <c r="G440" s="17" t="n"/>
      <c r="H440" s="17">
        <f>IF(A440="","",COUNTIF(Leads!$P$2:$P$501,A440))</f>
        <v/>
      </c>
      <c r="I440" s="17">
        <f>IF(A440="","",COUNTIFS(Leads!$P$2:$P$501,A440,Leads!$I$2:$I$501,"Won",Leads!$N$2:$N$501,"&gt;="&amp;Settings!$B$7))</f>
        <v/>
      </c>
      <c r="J440" s="18">
        <f>IF(A440="","",SUMIF(Leads!$P$2:$P$501,A440,Leads!$Q$2:$Q$501))</f>
        <v/>
      </c>
      <c r="K440" s="18">
        <f>IF(A440="","",SUMIF(Leads!$P$2:$P$501,A440,Leads!$R$2:$R$501))</f>
        <v/>
      </c>
      <c r="L440" s="18">
        <f>IF(A440="","",IF(I440&gt;=3,Settings!$B$6,0))</f>
        <v/>
      </c>
      <c r="M440" s="18">
        <f>IF(A440="","",J440+L440)</f>
        <v/>
      </c>
      <c r="N440" s="18" t="n"/>
      <c r="O440" s="18">
        <f>IF(A440="","",M440-N440)</f>
        <v/>
      </c>
      <c r="P440" s="17" t="n"/>
    </row>
    <row r="441">
      <c r="A441" s="17" t="n"/>
      <c r="B441" s="17" t="n"/>
      <c r="C441" s="17" t="n"/>
      <c r="D441" s="17" t="n"/>
      <c r="E441" s="17" t="n"/>
      <c r="F441" s="16" t="n"/>
      <c r="G441" s="17" t="n"/>
      <c r="H441" s="17">
        <f>IF(A441="","",COUNTIF(Leads!$P$2:$P$501,A441))</f>
        <v/>
      </c>
      <c r="I441" s="17">
        <f>IF(A441="","",COUNTIFS(Leads!$P$2:$P$501,A441,Leads!$I$2:$I$501,"Won",Leads!$N$2:$N$501,"&gt;="&amp;Settings!$B$7))</f>
        <v/>
      </c>
      <c r="J441" s="18">
        <f>IF(A441="","",SUMIF(Leads!$P$2:$P$501,A441,Leads!$Q$2:$Q$501))</f>
        <v/>
      </c>
      <c r="K441" s="18">
        <f>IF(A441="","",SUMIF(Leads!$P$2:$P$501,A441,Leads!$R$2:$R$501))</f>
        <v/>
      </c>
      <c r="L441" s="18">
        <f>IF(A441="","",IF(I441&gt;=3,Settings!$B$6,0))</f>
        <v/>
      </c>
      <c r="M441" s="18">
        <f>IF(A441="","",J441+L441)</f>
        <v/>
      </c>
      <c r="N441" s="18" t="n"/>
      <c r="O441" s="18">
        <f>IF(A441="","",M441-N441)</f>
        <v/>
      </c>
      <c r="P441" s="17" t="n"/>
    </row>
    <row r="442">
      <c r="A442" s="17" t="n"/>
      <c r="B442" s="17" t="n"/>
      <c r="C442" s="17" t="n"/>
      <c r="D442" s="17" t="n"/>
      <c r="E442" s="17" t="n"/>
      <c r="F442" s="16" t="n"/>
      <c r="G442" s="17" t="n"/>
      <c r="H442" s="17">
        <f>IF(A442="","",COUNTIF(Leads!$P$2:$P$501,A442))</f>
        <v/>
      </c>
      <c r="I442" s="17">
        <f>IF(A442="","",COUNTIFS(Leads!$P$2:$P$501,A442,Leads!$I$2:$I$501,"Won",Leads!$N$2:$N$501,"&gt;="&amp;Settings!$B$7))</f>
        <v/>
      </c>
      <c r="J442" s="18">
        <f>IF(A442="","",SUMIF(Leads!$P$2:$P$501,A442,Leads!$Q$2:$Q$501))</f>
        <v/>
      </c>
      <c r="K442" s="18">
        <f>IF(A442="","",SUMIF(Leads!$P$2:$P$501,A442,Leads!$R$2:$R$501))</f>
        <v/>
      </c>
      <c r="L442" s="18">
        <f>IF(A442="","",IF(I442&gt;=3,Settings!$B$6,0))</f>
        <v/>
      </c>
      <c r="M442" s="18">
        <f>IF(A442="","",J442+L442)</f>
        <v/>
      </c>
      <c r="N442" s="18" t="n"/>
      <c r="O442" s="18">
        <f>IF(A442="","",M442-N442)</f>
        <v/>
      </c>
      <c r="P442" s="17" t="n"/>
    </row>
    <row r="443">
      <c r="A443" s="17" t="n"/>
      <c r="B443" s="17" t="n"/>
      <c r="C443" s="17" t="n"/>
      <c r="D443" s="17" t="n"/>
      <c r="E443" s="17" t="n"/>
      <c r="F443" s="16" t="n"/>
      <c r="G443" s="17" t="n"/>
      <c r="H443" s="17">
        <f>IF(A443="","",COUNTIF(Leads!$P$2:$P$501,A443))</f>
        <v/>
      </c>
      <c r="I443" s="17">
        <f>IF(A443="","",COUNTIFS(Leads!$P$2:$P$501,A443,Leads!$I$2:$I$501,"Won",Leads!$N$2:$N$501,"&gt;="&amp;Settings!$B$7))</f>
        <v/>
      </c>
      <c r="J443" s="18">
        <f>IF(A443="","",SUMIF(Leads!$P$2:$P$501,A443,Leads!$Q$2:$Q$501))</f>
        <v/>
      </c>
      <c r="K443" s="18">
        <f>IF(A443="","",SUMIF(Leads!$P$2:$P$501,A443,Leads!$R$2:$R$501))</f>
        <v/>
      </c>
      <c r="L443" s="18">
        <f>IF(A443="","",IF(I443&gt;=3,Settings!$B$6,0))</f>
        <v/>
      </c>
      <c r="M443" s="18">
        <f>IF(A443="","",J443+L443)</f>
        <v/>
      </c>
      <c r="N443" s="18" t="n"/>
      <c r="O443" s="18">
        <f>IF(A443="","",M443-N443)</f>
        <v/>
      </c>
      <c r="P443" s="17" t="n"/>
    </row>
    <row r="444">
      <c r="A444" s="17" t="n"/>
      <c r="B444" s="17" t="n"/>
      <c r="C444" s="17" t="n"/>
      <c r="D444" s="17" t="n"/>
      <c r="E444" s="17" t="n"/>
      <c r="F444" s="16" t="n"/>
      <c r="G444" s="17" t="n"/>
      <c r="H444" s="17">
        <f>IF(A444="","",COUNTIF(Leads!$P$2:$P$501,A444))</f>
        <v/>
      </c>
      <c r="I444" s="17">
        <f>IF(A444="","",COUNTIFS(Leads!$P$2:$P$501,A444,Leads!$I$2:$I$501,"Won",Leads!$N$2:$N$501,"&gt;="&amp;Settings!$B$7))</f>
        <v/>
      </c>
      <c r="J444" s="18">
        <f>IF(A444="","",SUMIF(Leads!$P$2:$P$501,A444,Leads!$Q$2:$Q$501))</f>
        <v/>
      </c>
      <c r="K444" s="18">
        <f>IF(A444="","",SUMIF(Leads!$P$2:$P$501,A444,Leads!$R$2:$R$501))</f>
        <v/>
      </c>
      <c r="L444" s="18">
        <f>IF(A444="","",IF(I444&gt;=3,Settings!$B$6,0))</f>
        <v/>
      </c>
      <c r="M444" s="18">
        <f>IF(A444="","",J444+L444)</f>
        <v/>
      </c>
      <c r="N444" s="18" t="n"/>
      <c r="O444" s="18">
        <f>IF(A444="","",M444-N444)</f>
        <v/>
      </c>
      <c r="P444" s="17" t="n"/>
    </row>
    <row r="445">
      <c r="A445" s="17" t="n"/>
      <c r="B445" s="17" t="n"/>
      <c r="C445" s="17" t="n"/>
      <c r="D445" s="17" t="n"/>
      <c r="E445" s="17" t="n"/>
      <c r="F445" s="16" t="n"/>
      <c r="G445" s="17" t="n"/>
      <c r="H445" s="17">
        <f>IF(A445="","",COUNTIF(Leads!$P$2:$P$501,A445))</f>
        <v/>
      </c>
      <c r="I445" s="17">
        <f>IF(A445="","",COUNTIFS(Leads!$P$2:$P$501,A445,Leads!$I$2:$I$501,"Won",Leads!$N$2:$N$501,"&gt;="&amp;Settings!$B$7))</f>
        <v/>
      </c>
      <c r="J445" s="18">
        <f>IF(A445="","",SUMIF(Leads!$P$2:$P$501,A445,Leads!$Q$2:$Q$501))</f>
        <v/>
      </c>
      <c r="K445" s="18">
        <f>IF(A445="","",SUMIF(Leads!$P$2:$P$501,A445,Leads!$R$2:$R$501))</f>
        <v/>
      </c>
      <c r="L445" s="18">
        <f>IF(A445="","",IF(I445&gt;=3,Settings!$B$6,0))</f>
        <v/>
      </c>
      <c r="M445" s="18">
        <f>IF(A445="","",J445+L445)</f>
        <v/>
      </c>
      <c r="N445" s="18" t="n"/>
      <c r="O445" s="18">
        <f>IF(A445="","",M445-N445)</f>
        <v/>
      </c>
      <c r="P445" s="17" t="n"/>
    </row>
    <row r="446">
      <c r="A446" s="17" t="n"/>
      <c r="B446" s="17" t="n"/>
      <c r="C446" s="17" t="n"/>
      <c r="D446" s="17" t="n"/>
      <c r="E446" s="17" t="n"/>
      <c r="F446" s="16" t="n"/>
      <c r="G446" s="17" t="n"/>
      <c r="H446" s="17">
        <f>IF(A446="","",COUNTIF(Leads!$P$2:$P$501,A446))</f>
        <v/>
      </c>
      <c r="I446" s="17">
        <f>IF(A446="","",COUNTIFS(Leads!$P$2:$P$501,A446,Leads!$I$2:$I$501,"Won",Leads!$N$2:$N$501,"&gt;="&amp;Settings!$B$7))</f>
        <v/>
      </c>
      <c r="J446" s="18">
        <f>IF(A446="","",SUMIF(Leads!$P$2:$P$501,A446,Leads!$Q$2:$Q$501))</f>
        <v/>
      </c>
      <c r="K446" s="18">
        <f>IF(A446="","",SUMIF(Leads!$P$2:$P$501,A446,Leads!$R$2:$R$501))</f>
        <v/>
      </c>
      <c r="L446" s="18">
        <f>IF(A446="","",IF(I446&gt;=3,Settings!$B$6,0))</f>
        <v/>
      </c>
      <c r="M446" s="18">
        <f>IF(A446="","",J446+L446)</f>
        <v/>
      </c>
      <c r="N446" s="18" t="n"/>
      <c r="O446" s="18">
        <f>IF(A446="","",M446-N446)</f>
        <v/>
      </c>
      <c r="P446" s="17" t="n"/>
    </row>
    <row r="447">
      <c r="A447" s="17" t="n"/>
      <c r="B447" s="17" t="n"/>
      <c r="C447" s="17" t="n"/>
      <c r="D447" s="17" t="n"/>
      <c r="E447" s="17" t="n"/>
      <c r="F447" s="16" t="n"/>
      <c r="G447" s="17" t="n"/>
      <c r="H447" s="17">
        <f>IF(A447="","",COUNTIF(Leads!$P$2:$P$501,A447))</f>
        <v/>
      </c>
      <c r="I447" s="17">
        <f>IF(A447="","",COUNTIFS(Leads!$P$2:$P$501,A447,Leads!$I$2:$I$501,"Won",Leads!$N$2:$N$501,"&gt;="&amp;Settings!$B$7))</f>
        <v/>
      </c>
      <c r="J447" s="18">
        <f>IF(A447="","",SUMIF(Leads!$P$2:$P$501,A447,Leads!$Q$2:$Q$501))</f>
        <v/>
      </c>
      <c r="K447" s="18">
        <f>IF(A447="","",SUMIF(Leads!$P$2:$P$501,A447,Leads!$R$2:$R$501))</f>
        <v/>
      </c>
      <c r="L447" s="18">
        <f>IF(A447="","",IF(I447&gt;=3,Settings!$B$6,0))</f>
        <v/>
      </c>
      <c r="M447" s="18">
        <f>IF(A447="","",J447+L447)</f>
        <v/>
      </c>
      <c r="N447" s="18" t="n"/>
      <c r="O447" s="18">
        <f>IF(A447="","",M447-N447)</f>
        <v/>
      </c>
      <c r="P447" s="17" t="n"/>
    </row>
    <row r="448">
      <c r="A448" s="17" t="n"/>
      <c r="B448" s="17" t="n"/>
      <c r="C448" s="17" t="n"/>
      <c r="D448" s="17" t="n"/>
      <c r="E448" s="17" t="n"/>
      <c r="F448" s="16" t="n"/>
      <c r="G448" s="17" t="n"/>
      <c r="H448" s="17">
        <f>IF(A448="","",COUNTIF(Leads!$P$2:$P$501,A448))</f>
        <v/>
      </c>
      <c r="I448" s="17">
        <f>IF(A448="","",COUNTIFS(Leads!$P$2:$P$501,A448,Leads!$I$2:$I$501,"Won",Leads!$N$2:$N$501,"&gt;="&amp;Settings!$B$7))</f>
        <v/>
      </c>
      <c r="J448" s="18">
        <f>IF(A448="","",SUMIF(Leads!$P$2:$P$501,A448,Leads!$Q$2:$Q$501))</f>
        <v/>
      </c>
      <c r="K448" s="18">
        <f>IF(A448="","",SUMIF(Leads!$P$2:$P$501,A448,Leads!$R$2:$R$501))</f>
        <v/>
      </c>
      <c r="L448" s="18">
        <f>IF(A448="","",IF(I448&gt;=3,Settings!$B$6,0))</f>
        <v/>
      </c>
      <c r="M448" s="18">
        <f>IF(A448="","",J448+L448)</f>
        <v/>
      </c>
      <c r="N448" s="18" t="n"/>
      <c r="O448" s="18">
        <f>IF(A448="","",M448-N448)</f>
        <v/>
      </c>
      <c r="P448" s="17" t="n"/>
    </row>
    <row r="449">
      <c r="A449" s="17" t="n"/>
      <c r="B449" s="17" t="n"/>
      <c r="C449" s="17" t="n"/>
      <c r="D449" s="17" t="n"/>
      <c r="E449" s="17" t="n"/>
      <c r="F449" s="16" t="n"/>
      <c r="G449" s="17" t="n"/>
      <c r="H449" s="17">
        <f>IF(A449="","",COUNTIF(Leads!$P$2:$P$501,A449))</f>
        <v/>
      </c>
      <c r="I449" s="17">
        <f>IF(A449="","",COUNTIFS(Leads!$P$2:$P$501,A449,Leads!$I$2:$I$501,"Won",Leads!$N$2:$N$501,"&gt;="&amp;Settings!$B$7))</f>
        <v/>
      </c>
      <c r="J449" s="18">
        <f>IF(A449="","",SUMIF(Leads!$P$2:$P$501,A449,Leads!$Q$2:$Q$501))</f>
        <v/>
      </c>
      <c r="K449" s="18">
        <f>IF(A449="","",SUMIF(Leads!$P$2:$P$501,A449,Leads!$R$2:$R$501))</f>
        <v/>
      </c>
      <c r="L449" s="18">
        <f>IF(A449="","",IF(I449&gt;=3,Settings!$B$6,0))</f>
        <v/>
      </c>
      <c r="M449" s="18">
        <f>IF(A449="","",J449+L449)</f>
        <v/>
      </c>
      <c r="N449" s="18" t="n"/>
      <c r="O449" s="18">
        <f>IF(A449="","",M449-N449)</f>
        <v/>
      </c>
      <c r="P449" s="17" t="n"/>
    </row>
    <row r="450">
      <c r="A450" s="17" t="n"/>
      <c r="B450" s="17" t="n"/>
      <c r="C450" s="17" t="n"/>
      <c r="D450" s="17" t="n"/>
      <c r="E450" s="17" t="n"/>
      <c r="F450" s="16" t="n"/>
      <c r="G450" s="17" t="n"/>
      <c r="H450" s="17">
        <f>IF(A450="","",COUNTIF(Leads!$P$2:$P$501,A450))</f>
        <v/>
      </c>
      <c r="I450" s="17">
        <f>IF(A450="","",COUNTIFS(Leads!$P$2:$P$501,A450,Leads!$I$2:$I$501,"Won",Leads!$N$2:$N$501,"&gt;="&amp;Settings!$B$7))</f>
        <v/>
      </c>
      <c r="J450" s="18">
        <f>IF(A450="","",SUMIF(Leads!$P$2:$P$501,A450,Leads!$Q$2:$Q$501))</f>
        <v/>
      </c>
      <c r="K450" s="18">
        <f>IF(A450="","",SUMIF(Leads!$P$2:$P$501,A450,Leads!$R$2:$R$501))</f>
        <v/>
      </c>
      <c r="L450" s="18">
        <f>IF(A450="","",IF(I450&gt;=3,Settings!$B$6,0))</f>
        <v/>
      </c>
      <c r="M450" s="18">
        <f>IF(A450="","",J450+L450)</f>
        <v/>
      </c>
      <c r="N450" s="18" t="n"/>
      <c r="O450" s="18">
        <f>IF(A450="","",M450-N450)</f>
        <v/>
      </c>
      <c r="P450" s="17" t="n"/>
    </row>
    <row r="451">
      <c r="A451" s="17" t="n"/>
      <c r="B451" s="17" t="n"/>
      <c r="C451" s="17" t="n"/>
      <c r="D451" s="17" t="n"/>
      <c r="E451" s="17" t="n"/>
      <c r="F451" s="16" t="n"/>
      <c r="G451" s="17" t="n"/>
      <c r="H451" s="17">
        <f>IF(A451="","",COUNTIF(Leads!$P$2:$P$501,A451))</f>
        <v/>
      </c>
      <c r="I451" s="17">
        <f>IF(A451="","",COUNTIFS(Leads!$P$2:$P$501,A451,Leads!$I$2:$I$501,"Won",Leads!$N$2:$N$501,"&gt;="&amp;Settings!$B$7))</f>
        <v/>
      </c>
      <c r="J451" s="18">
        <f>IF(A451="","",SUMIF(Leads!$P$2:$P$501,A451,Leads!$Q$2:$Q$501))</f>
        <v/>
      </c>
      <c r="K451" s="18">
        <f>IF(A451="","",SUMIF(Leads!$P$2:$P$501,A451,Leads!$R$2:$R$501))</f>
        <v/>
      </c>
      <c r="L451" s="18">
        <f>IF(A451="","",IF(I451&gt;=3,Settings!$B$6,0))</f>
        <v/>
      </c>
      <c r="M451" s="18">
        <f>IF(A451="","",J451+L451)</f>
        <v/>
      </c>
      <c r="N451" s="18" t="n"/>
      <c r="O451" s="18">
        <f>IF(A451="","",M451-N451)</f>
        <v/>
      </c>
      <c r="P451" s="17" t="n"/>
    </row>
    <row r="452">
      <c r="A452" s="17" t="n"/>
      <c r="B452" s="17" t="n"/>
      <c r="C452" s="17" t="n"/>
      <c r="D452" s="17" t="n"/>
      <c r="E452" s="17" t="n"/>
      <c r="F452" s="16" t="n"/>
      <c r="G452" s="17" t="n"/>
      <c r="H452" s="17">
        <f>IF(A452="","",COUNTIF(Leads!$P$2:$P$501,A452))</f>
        <v/>
      </c>
      <c r="I452" s="17">
        <f>IF(A452="","",COUNTIFS(Leads!$P$2:$P$501,A452,Leads!$I$2:$I$501,"Won",Leads!$N$2:$N$501,"&gt;="&amp;Settings!$B$7))</f>
        <v/>
      </c>
      <c r="J452" s="18">
        <f>IF(A452="","",SUMIF(Leads!$P$2:$P$501,A452,Leads!$Q$2:$Q$501))</f>
        <v/>
      </c>
      <c r="K452" s="18">
        <f>IF(A452="","",SUMIF(Leads!$P$2:$P$501,A452,Leads!$R$2:$R$501))</f>
        <v/>
      </c>
      <c r="L452" s="18">
        <f>IF(A452="","",IF(I452&gt;=3,Settings!$B$6,0))</f>
        <v/>
      </c>
      <c r="M452" s="18">
        <f>IF(A452="","",J452+L452)</f>
        <v/>
      </c>
      <c r="N452" s="18" t="n"/>
      <c r="O452" s="18">
        <f>IF(A452="","",M452-N452)</f>
        <v/>
      </c>
      <c r="P452" s="17" t="n"/>
    </row>
    <row r="453">
      <c r="A453" s="17" t="n"/>
      <c r="B453" s="17" t="n"/>
      <c r="C453" s="17" t="n"/>
      <c r="D453" s="17" t="n"/>
      <c r="E453" s="17" t="n"/>
      <c r="F453" s="16" t="n"/>
      <c r="G453" s="17" t="n"/>
      <c r="H453" s="17">
        <f>IF(A453="","",COUNTIF(Leads!$P$2:$P$501,A453))</f>
        <v/>
      </c>
      <c r="I453" s="17">
        <f>IF(A453="","",COUNTIFS(Leads!$P$2:$P$501,A453,Leads!$I$2:$I$501,"Won",Leads!$N$2:$N$501,"&gt;="&amp;Settings!$B$7))</f>
        <v/>
      </c>
      <c r="J453" s="18">
        <f>IF(A453="","",SUMIF(Leads!$P$2:$P$501,A453,Leads!$Q$2:$Q$501))</f>
        <v/>
      </c>
      <c r="K453" s="18">
        <f>IF(A453="","",SUMIF(Leads!$P$2:$P$501,A453,Leads!$R$2:$R$501))</f>
        <v/>
      </c>
      <c r="L453" s="18">
        <f>IF(A453="","",IF(I453&gt;=3,Settings!$B$6,0))</f>
        <v/>
      </c>
      <c r="M453" s="18">
        <f>IF(A453="","",J453+L453)</f>
        <v/>
      </c>
      <c r="N453" s="18" t="n"/>
      <c r="O453" s="18">
        <f>IF(A453="","",M453-N453)</f>
        <v/>
      </c>
      <c r="P453" s="17" t="n"/>
    </row>
    <row r="454">
      <c r="A454" s="17" t="n"/>
      <c r="B454" s="17" t="n"/>
      <c r="C454" s="17" t="n"/>
      <c r="D454" s="17" t="n"/>
      <c r="E454" s="17" t="n"/>
      <c r="F454" s="16" t="n"/>
      <c r="G454" s="17" t="n"/>
      <c r="H454" s="17">
        <f>IF(A454="","",COUNTIF(Leads!$P$2:$P$501,A454))</f>
        <v/>
      </c>
      <c r="I454" s="17">
        <f>IF(A454="","",COUNTIFS(Leads!$P$2:$P$501,A454,Leads!$I$2:$I$501,"Won",Leads!$N$2:$N$501,"&gt;="&amp;Settings!$B$7))</f>
        <v/>
      </c>
      <c r="J454" s="18">
        <f>IF(A454="","",SUMIF(Leads!$P$2:$P$501,A454,Leads!$Q$2:$Q$501))</f>
        <v/>
      </c>
      <c r="K454" s="18">
        <f>IF(A454="","",SUMIF(Leads!$P$2:$P$501,A454,Leads!$R$2:$R$501))</f>
        <v/>
      </c>
      <c r="L454" s="18">
        <f>IF(A454="","",IF(I454&gt;=3,Settings!$B$6,0))</f>
        <v/>
      </c>
      <c r="M454" s="18">
        <f>IF(A454="","",J454+L454)</f>
        <v/>
      </c>
      <c r="N454" s="18" t="n"/>
      <c r="O454" s="18">
        <f>IF(A454="","",M454-N454)</f>
        <v/>
      </c>
      <c r="P454" s="17" t="n"/>
    </row>
    <row r="455">
      <c r="A455" s="17" t="n"/>
      <c r="B455" s="17" t="n"/>
      <c r="C455" s="17" t="n"/>
      <c r="D455" s="17" t="n"/>
      <c r="E455" s="17" t="n"/>
      <c r="F455" s="16" t="n"/>
      <c r="G455" s="17" t="n"/>
      <c r="H455" s="17">
        <f>IF(A455="","",COUNTIF(Leads!$P$2:$P$501,A455))</f>
        <v/>
      </c>
      <c r="I455" s="17">
        <f>IF(A455="","",COUNTIFS(Leads!$P$2:$P$501,A455,Leads!$I$2:$I$501,"Won",Leads!$N$2:$N$501,"&gt;="&amp;Settings!$B$7))</f>
        <v/>
      </c>
      <c r="J455" s="18">
        <f>IF(A455="","",SUMIF(Leads!$P$2:$P$501,A455,Leads!$Q$2:$Q$501))</f>
        <v/>
      </c>
      <c r="K455" s="18">
        <f>IF(A455="","",SUMIF(Leads!$P$2:$P$501,A455,Leads!$R$2:$R$501))</f>
        <v/>
      </c>
      <c r="L455" s="18">
        <f>IF(A455="","",IF(I455&gt;=3,Settings!$B$6,0))</f>
        <v/>
      </c>
      <c r="M455" s="18">
        <f>IF(A455="","",J455+L455)</f>
        <v/>
      </c>
      <c r="N455" s="18" t="n"/>
      <c r="O455" s="18">
        <f>IF(A455="","",M455-N455)</f>
        <v/>
      </c>
      <c r="P455" s="17" t="n"/>
    </row>
    <row r="456">
      <c r="A456" s="17" t="n"/>
      <c r="B456" s="17" t="n"/>
      <c r="C456" s="17" t="n"/>
      <c r="D456" s="17" t="n"/>
      <c r="E456" s="17" t="n"/>
      <c r="F456" s="16" t="n"/>
      <c r="G456" s="17" t="n"/>
      <c r="H456" s="17">
        <f>IF(A456="","",COUNTIF(Leads!$P$2:$P$501,A456))</f>
        <v/>
      </c>
      <c r="I456" s="17">
        <f>IF(A456="","",COUNTIFS(Leads!$P$2:$P$501,A456,Leads!$I$2:$I$501,"Won",Leads!$N$2:$N$501,"&gt;="&amp;Settings!$B$7))</f>
        <v/>
      </c>
      <c r="J456" s="18">
        <f>IF(A456="","",SUMIF(Leads!$P$2:$P$501,A456,Leads!$Q$2:$Q$501))</f>
        <v/>
      </c>
      <c r="K456" s="18">
        <f>IF(A456="","",SUMIF(Leads!$P$2:$P$501,A456,Leads!$R$2:$R$501))</f>
        <v/>
      </c>
      <c r="L456" s="18">
        <f>IF(A456="","",IF(I456&gt;=3,Settings!$B$6,0))</f>
        <v/>
      </c>
      <c r="M456" s="18">
        <f>IF(A456="","",J456+L456)</f>
        <v/>
      </c>
      <c r="N456" s="18" t="n"/>
      <c r="O456" s="18">
        <f>IF(A456="","",M456-N456)</f>
        <v/>
      </c>
      <c r="P456" s="17" t="n"/>
    </row>
    <row r="457">
      <c r="A457" s="17" t="n"/>
      <c r="B457" s="17" t="n"/>
      <c r="C457" s="17" t="n"/>
      <c r="D457" s="17" t="n"/>
      <c r="E457" s="17" t="n"/>
      <c r="F457" s="16" t="n"/>
      <c r="G457" s="17" t="n"/>
      <c r="H457" s="17">
        <f>IF(A457="","",COUNTIF(Leads!$P$2:$P$501,A457))</f>
        <v/>
      </c>
      <c r="I457" s="17">
        <f>IF(A457="","",COUNTIFS(Leads!$P$2:$P$501,A457,Leads!$I$2:$I$501,"Won",Leads!$N$2:$N$501,"&gt;="&amp;Settings!$B$7))</f>
        <v/>
      </c>
      <c r="J457" s="18">
        <f>IF(A457="","",SUMIF(Leads!$P$2:$P$501,A457,Leads!$Q$2:$Q$501))</f>
        <v/>
      </c>
      <c r="K457" s="18">
        <f>IF(A457="","",SUMIF(Leads!$P$2:$P$501,A457,Leads!$R$2:$R$501))</f>
        <v/>
      </c>
      <c r="L457" s="18">
        <f>IF(A457="","",IF(I457&gt;=3,Settings!$B$6,0))</f>
        <v/>
      </c>
      <c r="M457" s="18">
        <f>IF(A457="","",J457+L457)</f>
        <v/>
      </c>
      <c r="N457" s="18" t="n"/>
      <c r="O457" s="18">
        <f>IF(A457="","",M457-N457)</f>
        <v/>
      </c>
      <c r="P457" s="17" t="n"/>
    </row>
    <row r="458">
      <c r="A458" s="17" t="n"/>
      <c r="B458" s="17" t="n"/>
      <c r="C458" s="17" t="n"/>
      <c r="D458" s="17" t="n"/>
      <c r="E458" s="17" t="n"/>
      <c r="F458" s="16" t="n"/>
      <c r="G458" s="17" t="n"/>
      <c r="H458" s="17">
        <f>IF(A458="","",COUNTIF(Leads!$P$2:$P$501,A458))</f>
        <v/>
      </c>
      <c r="I458" s="17">
        <f>IF(A458="","",COUNTIFS(Leads!$P$2:$P$501,A458,Leads!$I$2:$I$501,"Won",Leads!$N$2:$N$501,"&gt;="&amp;Settings!$B$7))</f>
        <v/>
      </c>
      <c r="J458" s="18">
        <f>IF(A458="","",SUMIF(Leads!$P$2:$P$501,A458,Leads!$Q$2:$Q$501))</f>
        <v/>
      </c>
      <c r="K458" s="18">
        <f>IF(A458="","",SUMIF(Leads!$P$2:$P$501,A458,Leads!$R$2:$R$501))</f>
        <v/>
      </c>
      <c r="L458" s="18">
        <f>IF(A458="","",IF(I458&gt;=3,Settings!$B$6,0))</f>
        <v/>
      </c>
      <c r="M458" s="18">
        <f>IF(A458="","",J458+L458)</f>
        <v/>
      </c>
      <c r="N458" s="18" t="n"/>
      <c r="O458" s="18">
        <f>IF(A458="","",M458-N458)</f>
        <v/>
      </c>
      <c r="P458" s="17" t="n"/>
    </row>
    <row r="459">
      <c r="A459" s="17" t="n"/>
      <c r="B459" s="17" t="n"/>
      <c r="C459" s="17" t="n"/>
      <c r="D459" s="17" t="n"/>
      <c r="E459" s="17" t="n"/>
      <c r="F459" s="16" t="n"/>
      <c r="G459" s="17" t="n"/>
      <c r="H459" s="17">
        <f>IF(A459="","",COUNTIF(Leads!$P$2:$P$501,A459))</f>
        <v/>
      </c>
      <c r="I459" s="17">
        <f>IF(A459="","",COUNTIFS(Leads!$P$2:$P$501,A459,Leads!$I$2:$I$501,"Won",Leads!$N$2:$N$501,"&gt;="&amp;Settings!$B$7))</f>
        <v/>
      </c>
      <c r="J459" s="18">
        <f>IF(A459="","",SUMIF(Leads!$P$2:$P$501,A459,Leads!$Q$2:$Q$501))</f>
        <v/>
      </c>
      <c r="K459" s="18">
        <f>IF(A459="","",SUMIF(Leads!$P$2:$P$501,A459,Leads!$R$2:$R$501))</f>
        <v/>
      </c>
      <c r="L459" s="18">
        <f>IF(A459="","",IF(I459&gt;=3,Settings!$B$6,0))</f>
        <v/>
      </c>
      <c r="M459" s="18">
        <f>IF(A459="","",J459+L459)</f>
        <v/>
      </c>
      <c r="N459" s="18" t="n"/>
      <c r="O459" s="18">
        <f>IF(A459="","",M459-N459)</f>
        <v/>
      </c>
      <c r="P459" s="17" t="n"/>
    </row>
    <row r="460">
      <c r="A460" s="17" t="n"/>
      <c r="B460" s="17" t="n"/>
      <c r="C460" s="17" t="n"/>
      <c r="D460" s="17" t="n"/>
      <c r="E460" s="17" t="n"/>
      <c r="F460" s="16" t="n"/>
      <c r="G460" s="17" t="n"/>
      <c r="H460" s="17">
        <f>IF(A460="","",COUNTIF(Leads!$P$2:$P$501,A460))</f>
        <v/>
      </c>
      <c r="I460" s="17">
        <f>IF(A460="","",COUNTIFS(Leads!$P$2:$P$501,A460,Leads!$I$2:$I$501,"Won",Leads!$N$2:$N$501,"&gt;="&amp;Settings!$B$7))</f>
        <v/>
      </c>
      <c r="J460" s="18">
        <f>IF(A460="","",SUMIF(Leads!$P$2:$P$501,A460,Leads!$Q$2:$Q$501))</f>
        <v/>
      </c>
      <c r="K460" s="18">
        <f>IF(A460="","",SUMIF(Leads!$P$2:$P$501,A460,Leads!$R$2:$R$501))</f>
        <v/>
      </c>
      <c r="L460" s="18">
        <f>IF(A460="","",IF(I460&gt;=3,Settings!$B$6,0))</f>
        <v/>
      </c>
      <c r="M460" s="18">
        <f>IF(A460="","",J460+L460)</f>
        <v/>
      </c>
      <c r="N460" s="18" t="n"/>
      <c r="O460" s="18">
        <f>IF(A460="","",M460-N460)</f>
        <v/>
      </c>
      <c r="P460" s="17" t="n"/>
    </row>
    <row r="461">
      <c r="A461" s="17" t="n"/>
      <c r="B461" s="17" t="n"/>
      <c r="C461" s="17" t="n"/>
      <c r="D461" s="17" t="n"/>
      <c r="E461" s="17" t="n"/>
      <c r="F461" s="16" t="n"/>
      <c r="G461" s="17" t="n"/>
      <c r="H461" s="17">
        <f>IF(A461="","",COUNTIF(Leads!$P$2:$P$501,A461))</f>
        <v/>
      </c>
      <c r="I461" s="17">
        <f>IF(A461="","",COUNTIFS(Leads!$P$2:$P$501,A461,Leads!$I$2:$I$501,"Won",Leads!$N$2:$N$501,"&gt;="&amp;Settings!$B$7))</f>
        <v/>
      </c>
      <c r="J461" s="18">
        <f>IF(A461="","",SUMIF(Leads!$P$2:$P$501,A461,Leads!$Q$2:$Q$501))</f>
        <v/>
      </c>
      <c r="K461" s="18">
        <f>IF(A461="","",SUMIF(Leads!$P$2:$P$501,A461,Leads!$R$2:$R$501))</f>
        <v/>
      </c>
      <c r="L461" s="18">
        <f>IF(A461="","",IF(I461&gt;=3,Settings!$B$6,0))</f>
        <v/>
      </c>
      <c r="M461" s="18">
        <f>IF(A461="","",J461+L461)</f>
        <v/>
      </c>
      <c r="N461" s="18" t="n"/>
      <c r="O461" s="18">
        <f>IF(A461="","",M461-N461)</f>
        <v/>
      </c>
      <c r="P461" s="17" t="n"/>
    </row>
    <row r="462">
      <c r="A462" s="17" t="n"/>
      <c r="B462" s="17" t="n"/>
      <c r="C462" s="17" t="n"/>
      <c r="D462" s="17" t="n"/>
      <c r="E462" s="17" t="n"/>
      <c r="F462" s="16" t="n"/>
      <c r="G462" s="17" t="n"/>
      <c r="H462" s="17">
        <f>IF(A462="","",COUNTIF(Leads!$P$2:$P$501,A462))</f>
        <v/>
      </c>
      <c r="I462" s="17">
        <f>IF(A462="","",COUNTIFS(Leads!$P$2:$P$501,A462,Leads!$I$2:$I$501,"Won",Leads!$N$2:$N$501,"&gt;="&amp;Settings!$B$7))</f>
        <v/>
      </c>
      <c r="J462" s="18">
        <f>IF(A462="","",SUMIF(Leads!$P$2:$P$501,A462,Leads!$Q$2:$Q$501))</f>
        <v/>
      </c>
      <c r="K462" s="18">
        <f>IF(A462="","",SUMIF(Leads!$P$2:$P$501,A462,Leads!$R$2:$R$501))</f>
        <v/>
      </c>
      <c r="L462" s="18">
        <f>IF(A462="","",IF(I462&gt;=3,Settings!$B$6,0))</f>
        <v/>
      </c>
      <c r="M462" s="18">
        <f>IF(A462="","",J462+L462)</f>
        <v/>
      </c>
      <c r="N462" s="18" t="n"/>
      <c r="O462" s="18">
        <f>IF(A462="","",M462-N462)</f>
        <v/>
      </c>
      <c r="P462" s="17" t="n"/>
    </row>
    <row r="463">
      <c r="A463" s="17" t="n"/>
      <c r="B463" s="17" t="n"/>
      <c r="C463" s="17" t="n"/>
      <c r="D463" s="17" t="n"/>
      <c r="E463" s="17" t="n"/>
      <c r="F463" s="16" t="n"/>
      <c r="G463" s="17" t="n"/>
      <c r="H463" s="17">
        <f>IF(A463="","",COUNTIF(Leads!$P$2:$P$501,A463))</f>
        <v/>
      </c>
      <c r="I463" s="17">
        <f>IF(A463="","",COUNTIFS(Leads!$P$2:$P$501,A463,Leads!$I$2:$I$501,"Won",Leads!$N$2:$N$501,"&gt;="&amp;Settings!$B$7))</f>
        <v/>
      </c>
      <c r="J463" s="18">
        <f>IF(A463="","",SUMIF(Leads!$P$2:$P$501,A463,Leads!$Q$2:$Q$501))</f>
        <v/>
      </c>
      <c r="K463" s="18">
        <f>IF(A463="","",SUMIF(Leads!$P$2:$P$501,A463,Leads!$R$2:$R$501))</f>
        <v/>
      </c>
      <c r="L463" s="18">
        <f>IF(A463="","",IF(I463&gt;=3,Settings!$B$6,0))</f>
        <v/>
      </c>
      <c r="M463" s="18">
        <f>IF(A463="","",J463+L463)</f>
        <v/>
      </c>
      <c r="N463" s="18" t="n"/>
      <c r="O463" s="18">
        <f>IF(A463="","",M463-N463)</f>
        <v/>
      </c>
      <c r="P463" s="17" t="n"/>
    </row>
    <row r="464">
      <c r="A464" s="17" t="n"/>
      <c r="B464" s="17" t="n"/>
      <c r="C464" s="17" t="n"/>
      <c r="D464" s="17" t="n"/>
      <c r="E464" s="17" t="n"/>
      <c r="F464" s="16" t="n"/>
      <c r="G464" s="17" t="n"/>
      <c r="H464" s="17">
        <f>IF(A464="","",COUNTIF(Leads!$P$2:$P$501,A464))</f>
        <v/>
      </c>
      <c r="I464" s="17">
        <f>IF(A464="","",COUNTIFS(Leads!$P$2:$P$501,A464,Leads!$I$2:$I$501,"Won",Leads!$N$2:$N$501,"&gt;="&amp;Settings!$B$7))</f>
        <v/>
      </c>
      <c r="J464" s="18">
        <f>IF(A464="","",SUMIF(Leads!$P$2:$P$501,A464,Leads!$Q$2:$Q$501))</f>
        <v/>
      </c>
      <c r="K464" s="18">
        <f>IF(A464="","",SUMIF(Leads!$P$2:$P$501,A464,Leads!$R$2:$R$501))</f>
        <v/>
      </c>
      <c r="L464" s="18">
        <f>IF(A464="","",IF(I464&gt;=3,Settings!$B$6,0))</f>
        <v/>
      </c>
      <c r="M464" s="18">
        <f>IF(A464="","",J464+L464)</f>
        <v/>
      </c>
      <c r="N464" s="18" t="n"/>
      <c r="O464" s="18">
        <f>IF(A464="","",M464-N464)</f>
        <v/>
      </c>
      <c r="P464" s="17" t="n"/>
    </row>
    <row r="465">
      <c r="A465" s="17" t="n"/>
      <c r="B465" s="17" t="n"/>
      <c r="C465" s="17" t="n"/>
      <c r="D465" s="17" t="n"/>
      <c r="E465" s="17" t="n"/>
      <c r="F465" s="16" t="n"/>
      <c r="G465" s="17" t="n"/>
      <c r="H465" s="17">
        <f>IF(A465="","",COUNTIF(Leads!$P$2:$P$501,A465))</f>
        <v/>
      </c>
      <c r="I465" s="17">
        <f>IF(A465="","",COUNTIFS(Leads!$P$2:$P$501,A465,Leads!$I$2:$I$501,"Won",Leads!$N$2:$N$501,"&gt;="&amp;Settings!$B$7))</f>
        <v/>
      </c>
      <c r="J465" s="18">
        <f>IF(A465="","",SUMIF(Leads!$P$2:$P$501,A465,Leads!$Q$2:$Q$501))</f>
        <v/>
      </c>
      <c r="K465" s="18">
        <f>IF(A465="","",SUMIF(Leads!$P$2:$P$501,A465,Leads!$R$2:$R$501))</f>
        <v/>
      </c>
      <c r="L465" s="18">
        <f>IF(A465="","",IF(I465&gt;=3,Settings!$B$6,0))</f>
        <v/>
      </c>
      <c r="M465" s="18">
        <f>IF(A465="","",J465+L465)</f>
        <v/>
      </c>
      <c r="N465" s="18" t="n"/>
      <c r="O465" s="18">
        <f>IF(A465="","",M465-N465)</f>
        <v/>
      </c>
      <c r="P465" s="17" t="n"/>
    </row>
    <row r="466">
      <c r="A466" s="17" t="n"/>
      <c r="B466" s="17" t="n"/>
      <c r="C466" s="17" t="n"/>
      <c r="D466" s="17" t="n"/>
      <c r="E466" s="17" t="n"/>
      <c r="F466" s="16" t="n"/>
      <c r="G466" s="17" t="n"/>
      <c r="H466" s="17">
        <f>IF(A466="","",COUNTIF(Leads!$P$2:$P$501,A466))</f>
        <v/>
      </c>
      <c r="I466" s="17">
        <f>IF(A466="","",COUNTIFS(Leads!$P$2:$P$501,A466,Leads!$I$2:$I$501,"Won",Leads!$N$2:$N$501,"&gt;="&amp;Settings!$B$7))</f>
        <v/>
      </c>
      <c r="J466" s="18">
        <f>IF(A466="","",SUMIF(Leads!$P$2:$P$501,A466,Leads!$Q$2:$Q$501))</f>
        <v/>
      </c>
      <c r="K466" s="18">
        <f>IF(A466="","",SUMIF(Leads!$P$2:$P$501,A466,Leads!$R$2:$R$501))</f>
        <v/>
      </c>
      <c r="L466" s="18">
        <f>IF(A466="","",IF(I466&gt;=3,Settings!$B$6,0))</f>
        <v/>
      </c>
      <c r="M466" s="18">
        <f>IF(A466="","",J466+L466)</f>
        <v/>
      </c>
      <c r="N466" s="18" t="n"/>
      <c r="O466" s="18">
        <f>IF(A466="","",M466-N466)</f>
        <v/>
      </c>
      <c r="P466" s="17" t="n"/>
    </row>
    <row r="467">
      <c r="A467" s="17" t="n"/>
      <c r="B467" s="17" t="n"/>
      <c r="C467" s="17" t="n"/>
      <c r="D467" s="17" t="n"/>
      <c r="E467" s="17" t="n"/>
      <c r="F467" s="16" t="n"/>
      <c r="G467" s="17" t="n"/>
      <c r="H467" s="17">
        <f>IF(A467="","",COUNTIF(Leads!$P$2:$P$501,A467))</f>
        <v/>
      </c>
      <c r="I467" s="17">
        <f>IF(A467="","",COUNTIFS(Leads!$P$2:$P$501,A467,Leads!$I$2:$I$501,"Won",Leads!$N$2:$N$501,"&gt;="&amp;Settings!$B$7))</f>
        <v/>
      </c>
      <c r="J467" s="18">
        <f>IF(A467="","",SUMIF(Leads!$P$2:$P$501,A467,Leads!$Q$2:$Q$501))</f>
        <v/>
      </c>
      <c r="K467" s="18">
        <f>IF(A467="","",SUMIF(Leads!$P$2:$P$501,A467,Leads!$R$2:$R$501))</f>
        <v/>
      </c>
      <c r="L467" s="18">
        <f>IF(A467="","",IF(I467&gt;=3,Settings!$B$6,0))</f>
        <v/>
      </c>
      <c r="M467" s="18">
        <f>IF(A467="","",J467+L467)</f>
        <v/>
      </c>
      <c r="N467" s="18" t="n"/>
      <c r="O467" s="18">
        <f>IF(A467="","",M467-N467)</f>
        <v/>
      </c>
      <c r="P467" s="17" t="n"/>
    </row>
    <row r="468">
      <c r="A468" s="17" t="n"/>
      <c r="B468" s="17" t="n"/>
      <c r="C468" s="17" t="n"/>
      <c r="D468" s="17" t="n"/>
      <c r="E468" s="17" t="n"/>
      <c r="F468" s="16" t="n"/>
      <c r="G468" s="17" t="n"/>
      <c r="H468" s="17">
        <f>IF(A468="","",COUNTIF(Leads!$P$2:$P$501,A468))</f>
        <v/>
      </c>
      <c r="I468" s="17">
        <f>IF(A468="","",COUNTIFS(Leads!$P$2:$P$501,A468,Leads!$I$2:$I$501,"Won",Leads!$N$2:$N$501,"&gt;="&amp;Settings!$B$7))</f>
        <v/>
      </c>
      <c r="J468" s="18">
        <f>IF(A468="","",SUMIF(Leads!$P$2:$P$501,A468,Leads!$Q$2:$Q$501))</f>
        <v/>
      </c>
      <c r="K468" s="18">
        <f>IF(A468="","",SUMIF(Leads!$P$2:$P$501,A468,Leads!$R$2:$R$501))</f>
        <v/>
      </c>
      <c r="L468" s="18">
        <f>IF(A468="","",IF(I468&gt;=3,Settings!$B$6,0))</f>
        <v/>
      </c>
      <c r="M468" s="18">
        <f>IF(A468="","",J468+L468)</f>
        <v/>
      </c>
      <c r="N468" s="18" t="n"/>
      <c r="O468" s="18">
        <f>IF(A468="","",M468-N468)</f>
        <v/>
      </c>
      <c r="P468" s="17" t="n"/>
    </row>
    <row r="469">
      <c r="A469" s="17" t="n"/>
      <c r="B469" s="17" t="n"/>
      <c r="C469" s="17" t="n"/>
      <c r="D469" s="17" t="n"/>
      <c r="E469" s="17" t="n"/>
      <c r="F469" s="16" t="n"/>
      <c r="G469" s="17" t="n"/>
      <c r="H469" s="17">
        <f>IF(A469="","",COUNTIF(Leads!$P$2:$P$501,A469))</f>
        <v/>
      </c>
      <c r="I469" s="17">
        <f>IF(A469="","",COUNTIFS(Leads!$P$2:$P$501,A469,Leads!$I$2:$I$501,"Won",Leads!$N$2:$N$501,"&gt;="&amp;Settings!$B$7))</f>
        <v/>
      </c>
      <c r="J469" s="18">
        <f>IF(A469="","",SUMIF(Leads!$P$2:$P$501,A469,Leads!$Q$2:$Q$501))</f>
        <v/>
      </c>
      <c r="K469" s="18">
        <f>IF(A469="","",SUMIF(Leads!$P$2:$P$501,A469,Leads!$R$2:$R$501))</f>
        <v/>
      </c>
      <c r="L469" s="18">
        <f>IF(A469="","",IF(I469&gt;=3,Settings!$B$6,0))</f>
        <v/>
      </c>
      <c r="M469" s="18">
        <f>IF(A469="","",J469+L469)</f>
        <v/>
      </c>
      <c r="N469" s="18" t="n"/>
      <c r="O469" s="18">
        <f>IF(A469="","",M469-N469)</f>
        <v/>
      </c>
      <c r="P469" s="17" t="n"/>
    </row>
    <row r="470">
      <c r="A470" s="17" t="n"/>
      <c r="B470" s="17" t="n"/>
      <c r="C470" s="17" t="n"/>
      <c r="D470" s="17" t="n"/>
      <c r="E470" s="17" t="n"/>
      <c r="F470" s="16" t="n"/>
      <c r="G470" s="17" t="n"/>
      <c r="H470" s="17">
        <f>IF(A470="","",COUNTIF(Leads!$P$2:$P$501,A470))</f>
        <v/>
      </c>
      <c r="I470" s="17">
        <f>IF(A470="","",COUNTIFS(Leads!$P$2:$P$501,A470,Leads!$I$2:$I$501,"Won",Leads!$N$2:$N$501,"&gt;="&amp;Settings!$B$7))</f>
        <v/>
      </c>
      <c r="J470" s="18">
        <f>IF(A470="","",SUMIF(Leads!$P$2:$P$501,A470,Leads!$Q$2:$Q$501))</f>
        <v/>
      </c>
      <c r="K470" s="18">
        <f>IF(A470="","",SUMIF(Leads!$P$2:$P$501,A470,Leads!$R$2:$R$501))</f>
        <v/>
      </c>
      <c r="L470" s="18">
        <f>IF(A470="","",IF(I470&gt;=3,Settings!$B$6,0))</f>
        <v/>
      </c>
      <c r="M470" s="18">
        <f>IF(A470="","",J470+L470)</f>
        <v/>
      </c>
      <c r="N470" s="18" t="n"/>
      <c r="O470" s="18">
        <f>IF(A470="","",M470-N470)</f>
        <v/>
      </c>
      <c r="P470" s="17" t="n"/>
    </row>
    <row r="471">
      <c r="A471" s="17" t="n"/>
      <c r="B471" s="17" t="n"/>
      <c r="C471" s="17" t="n"/>
      <c r="D471" s="17" t="n"/>
      <c r="E471" s="17" t="n"/>
      <c r="F471" s="16" t="n"/>
      <c r="G471" s="17" t="n"/>
      <c r="H471" s="17">
        <f>IF(A471="","",COUNTIF(Leads!$P$2:$P$501,A471))</f>
        <v/>
      </c>
      <c r="I471" s="17">
        <f>IF(A471="","",COUNTIFS(Leads!$P$2:$P$501,A471,Leads!$I$2:$I$501,"Won",Leads!$N$2:$N$501,"&gt;="&amp;Settings!$B$7))</f>
        <v/>
      </c>
      <c r="J471" s="18">
        <f>IF(A471="","",SUMIF(Leads!$P$2:$P$501,A471,Leads!$Q$2:$Q$501))</f>
        <v/>
      </c>
      <c r="K471" s="18">
        <f>IF(A471="","",SUMIF(Leads!$P$2:$P$501,A471,Leads!$R$2:$R$501))</f>
        <v/>
      </c>
      <c r="L471" s="18">
        <f>IF(A471="","",IF(I471&gt;=3,Settings!$B$6,0))</f>
        <v/>
      </c>
      <c r="M471" s="18">
        <f>IF(A471="","",J471+L471)</f>
        <v/>
      </c>
      <c r="N471" s="18" t="n"/>
      <c r="O471" s="18">
        <f>IF(A471="","",M471-N471)</f>
        <v/>
      </c>
      <c r="P471" s="17" t="n"/>
    </row>
    <row r="472">
      <c r="A472" s="17" t="n"/>
      <c r="B472" s="17" t="n"/>
      <c r="C472" s="17" t="n"/>
      <c r="D472" s="17" t="n"/>
      <c r="E472" s="17" t="n"/>
      <c r="F472" s="16" t="n"/>
      <c r="G472" s="17" t="n"/>
      <c r="H472" s="17">
        <f>IF(A472="","",COUNTIF(Leads!$P$2:$P$501,A472))</f>
        <v/>
      </c>
      <c r="I472" s="17">
        <f>IF(A472="","",COUNTIFS(Leads!$P$2:$P$501,A472,Leads!$I$2:$I$501,"Won",Leads!$N$2:$N$501,"&gt;="&amp;Settings!$B$7))</f>
        <v/>
      </c>
      <c r="J472" s="18">
        <f>IF(A472="","",SUMIF(Leads!$P$2:$P$501,A472,Leads!$Q$2:$Q$501))</f>
        <v/>
      </c>
      <c r="K472" s="18">
        <f>IF(A472="","",SUMIF(Leads!$P$2:$P$501,A472,Leads!$R$2:$R$501))</f>
        <v/>
      </c>
      <c r="L472" s="18">
        <f>IF(A472="","",IF(I472&gt;=3,Settings!$B$6,0))</f>
        <v/>
      </c>
      <c r="M472" s="18">
        <f>IF(A472="","",J472+L472)</f>
        <v/>
      </c>
      <c r="N472" s="18" t="n"/>
      <c r="O472" s="18">
        <f>IF(A472="","",M472-N472)</f>
        <v/>
      </c>
      <c r="P472" s="17" t="n"/>
    </row>
    <row r="473">
      <c r="A473" s="17" t="n"/>
      <c r="B473" s="17" t="n"/>
      <c r="C473" s="17" t="n"/>
      <c r="D473" s="17" t="n"/>
      <c r="E473" s="17" t="n"/>
      <c r="F473" s="16" t="n"/>
      <c r="G473" s="17" t="n"/>
      <c r="H473" s="17">
        <f>IF(A473="","",COUNTIF(Leads!$P$2:$P$501,A473))</f>
        <v/>
      </c>
      <c r="I473" s="17">
        <f>IF(A473="","",COUNTIFS(Leads!$P$2:$P$501,A473,Leads!$I$2:$I$501,"Won",Leads!$N$2:$N$501,"&gt;="&amp;Settings!$B$7))</f>
        <v/>
      </c>
      <c r="J473" s="18">
        <f>IF(A473="","",SUMIF(Leads!$P$2:$P$501,A473,Leads!$Q$2:$Q$501))</f>
        <v/>
      </c>
      <c r="K473" s="18">
        <f>IF(A473="","",SUMIF(Leads!$P$2:$P$501,A473,Leads!$R$2:$R$501))</f>
        <v/>
      </c>
      <c r="L473" s="18">
        <f>IF(A473="","",IF(I473&gt;=3,Settings!$B$6,0))</f>
        <v/>
      </c>
      <c r="M473" s="18">
        <f>IF(A473="","",J473+L473)</f>
        <v/>
      </c>
      <c r="N473" s="18" t="n"/>
      <c r="O473" s="18">
        <f>IF(A473="","",M473-N473)</f>
        <v/>
      </c>
      <c r="P473" s="17" t="n"/>
    </row>
    <row r="474">
      <c r="A474" s="17" t="n"/>
      <c r="B474" s="17" t="n"/>
      <c r="C474" s="17" t="n"/>
      <c r="D474" s="17" t="n"/>
      <c r="E474" s="17" t="n"/>
      <c r="F474" s="16" t="n"/>
      <c r="G474" s="17" t="n"/>
      <c r="H474" s="17">
        <f>IF(A474="","",COUNTIF(Leads!$P$2:$P$501,A474))</f>
        <v/>
      </c>
      <c r="I474" s="17">
        <f>IF(A474="","",COUNTIFS(Leads!$P$2:$P$501,A474,Leads!$I$2:$I$501,"Won",Leads!$N$2:$N$501,"&gt;="&amp;Settings!$B$7))</f>
        <v/>
      </c>
      <c r="J474" s="18">
        <f>IF(A474="","",SUMIF(Leads!$P$2:$P$501,A474,Leads!$Q$2:$Q$501))</f>
        <v/>
      </c>
      <c r="K474" s="18">
        <f>IF(A474="","",SUMIF(Leads!$P$2:$P$501,A474,Leads!$R$2:$R$501))</f>
        <v/>
      </c>
      <c r="L474" s="18">
        <f>IF(A474="","",IF(I474&gt;=3,Settings!$B$6,0))</f>
        <v/>
      </c>
      <c r="M474" s="18">
        <f>IF(A474="","",J474+L474)</f>
        <v/>
      </c>
      <c r="N474" s="18" t="n"/>
      <c r="O474" s="18">
        <f>IF(A474="","",M474-N474)</f>
        <v/>
      </c>
      <c r="P474" s="17" t="n"/>
    </row>
    <row r="475">
      <c r="A475" s="17" t="n"/>
      <c r="B475" s="17" t="n"/>
      <c r="C475" s="17" t="n"/>
      <c r="D475" s="17" t="n"/>
      <c r="E475" s="17" t="n"/>
      <c r="F475" s="16" t="n"/>
      <c r="G475" s="17" t="n"/>
      <c r="H475" s="17">
        <f>IF(A475="","",COUNTIF(Leads!$P$2:$P$501,A475))</f>
        <v/>
      </c>
      <c r="I475" s="17">
        <f>IF(A475="","",COUNTIFS(Leads!$P$2:$P$501,A475,Leads!$I$2:$I$501,"Won",Leads!$N$2:$N$501,"&gt;="&amp;Settings!$B$7))</f>
        <v/>
      </c>
      <c r="J475" s="18">
        <f>IF(A475="","",SUMIF(Leads!$P$2:$P$501,A475,Leads!$Q$2:$Q$501))</f>
        <v/>
      </c>
      <c r="K475" s="18">
        <f>IF(A475="","",SUMIF(Leads!$P$2:$P$501,A475,Leads!$R$2:$R$501))</f>
        <v/>
      </c>
      <c r="L475" s="18">
        <f>IF(A475="","",IF(I475&gt;=3,Settings!$B$6,0))</f>
        <v/>
      </c>
      <c r="M475" s="18">
        <f>IF(A475="","",J475+L475)</f>
        <v/>
      </c>
      <c r="N475" s="18" t="n"/>
      <c r="O475" s="18">
        <f>IF(A475="","",M475-N475)</f>
        <v/>
      </c>
      <c r="P475" s="17" t="n"/>
    </row>
    <row r="476">
      <c r="A476" s="17" t="n"/>
      <c r="B476" s="17" t="n"/>
      <c r="C476" s="17" t="n"/>
      <c r="D476" s="17" t="n"/>
      <c r="E476" s="17" t="n"/>
      <c r="F476" s="16" t="n"/>
      <c r="G476" s="17" t="n"/>
      <c r="H476" s="17">
        <f>IF(A476="","",COUNTIF(Leads!$P$2:$P$501,A476))</f>
        <v/>
      </c>
      <c r="I476" s="17">
        <f>IF(A476="","",COUNTIFS(Leads!$P$2:$P$501,A476,Leads!$I$2:$I$501,"Won",Leads!$N$2:$N$501,"&gt;="&amp;Settings!$B$7))</f>
        <v/>
      </c>
      <c r="J476" s="18">
        <f>IF(A476="","",SUMIF(Leads!$P$2:$P$501,A476,Leads!$Q$2:$Q$501))</f>
        <v/>
      </c>
      <c r="K476" s="18">
        <f>IF(A476="","",SUMIF(Leads!$P$2:$P$501,A476,Leads!$R$2:$R$501))</f>
        <v/>
      </c>
      <c r="L476" s="18">
        <f>IF(A476="","",IF(I476&gt;=3,Settings!$B$6,0))</f>
        <v/>
      </c>
      <c r="M476" s="18">
        <f>IF(A476="","",J476+L476)</f>
        <v/>
      </c>
      <c r="N476" s="18" t="n"/>
      <c r="O476" s="18">
        <f>IF(A476="","",M476-N476)</f>
        <v/>
      </c>
      <c r="P476" s="17" t="n"/>
    </row>
    <row r="477">
      <c r="A477" s="17" t="n"/>
      <c r="B477" s="17" t="n"/>
      <c r="C477" s="17" t="n"/>
      <c r="D477" s="17" t="n"/>
      <c r="E477" s="17" t="n"/>
      <c r="F477" s="16" t="n"/>
      <c r="G477" s="17" t="n"/>
      <c r="H477" s="17">
        <f>IF(A477="","",COUNTIF(Leads!$P$2:$P$501,A477))</f>
        <v/>
      </c>
      <c r="I477" s="17">
        <f>IF(A477="","",COUNTIFS(Leads!$P$2:$P$501,A477,Leads!$I$2:$I$501,"Won",Leads!$N$2:$N$501,"&gt;="&amp;Settings!$B$7))</f>
        <v/>
      </c>
      <c r="J477" s="18">
        <f>IF(A477="","",SUMIF(Leads!$P$2:$P$501,A477,Leads!$Q$2:$Q$501))</f>
        <v/>
      </c>
      <c r="K477" s="18">
        <f>IF(A477="","",SUMIF(Leads!$P$2:$P$501,A477,Leads!$R$2:$R$501))</f>
        <v/>
      </c>
      <c r="L477" s="18">
        <f>IF(A477="","",IF(I477&gt;=3,Settings!$B$6,0))</f>
        <v/>
      </c>
      <c r="M477" s="18">
        <f>IF(A477="","",J477+L477)</f>
        <v/>
      </c>
      <c r="N477" s="18" t="n"/>
      <c r="O477" s="18">
        <f>IF(A477="","",M477-N477)</f>
        <v/>
      </c>
      <c r="P477" s="17" t="n"/>
    </row>
    <row r="478">
      <c r="A478" s="17" t="n"/>
      <c r="B478" s="17" t="n"/>
      <c r="C478" s="17" t="n"/>
      <c r="D478" s="17" t="n"/>
      <c r="E478" s="17" t="n"/>
      <c r="F478" s="16" t="n"/>
      <c r="G478" s="17" t="n"/>
      <c r="H478" s="17">
        <f>IF(A478="","",COUNTIF(Leads!$P$2:$P$501,A478))</f>
        <v/>
      </c>
      <c r="I478" s="17">
        <f>IF(A478="","",COUNTIFS(Leads!$P$2:$P$501,A478,Leads!$I$2:$I$501,"Won",Leads!$N$2:$N$501,"&gt;="&amp;Settings!$B$7))</f>
        <v/>
      </c>
      <c r="J478" s="18">
        <f>IF(A478="","",SUMIF(Leads!$P$2:$P$501,A478,Leads!$Q$2:$Q$501))</f>
        <v/>
      </c>
      <c r="K478" s="18">
        <f>IF(A478="","",SUMIF(Leads!$P$2:$P$501,A478,Leads!$R$2:$R$501))</f>
        <v/>
      </c>
      <c r="L478" s="18">
        <f>IF(A478="","",IF(I478&gt;=3,Settings!$B$6,0))</f>
        <v/>
      </c>
      <c r="M478" s="18">
        <f>IF(A478="","",J478+L478)</f>
        <v/>
      </c>
      <c r="N478" s="18" t="n"/>
      <c r="O478" s="18">
        <f>IF(A478="","",M478-N478)</f>
        <v/>
      </c>
      <c r="P478" s="17" t="n"/>
    </row>
    <row r="479">
      <c r="A479" s="17" t="n"/>
      <c r="B479" s="17" t="n"/>
      <c r="C479" s="17" t="n"/>
      <c r="D479" s="17" t="n"/>
      <c r="E479" s="17" t="n"/>
      <c r="F479" s="16" t="n"/>
      <c r="G479" s="17" t="n"/>
      <c r="H479" s="17">
        <f>IF(A479="","",COUNTIF(Leads!$P$2:$P$501,A479))</f>
        <v/>
      </c>
      <c r="I479" s="17">
        <f>IF(A479="","",COUNTIFS(Leads!$P$2:$P$501,A479,Leads!$I$2:$I$501,"Won",Leads!$N$2:$N$501,"&gt;="&amp;Settings!$B$7))</f>
        <v/>
      </c>
      <c r="J479" s="18">
        <f>IF(A479="","",SUMIF(Leads!$P$2:$P$501,A479,Leads!$Q$2:$Q$501))</f>
        <v/>
      </c>
      <c r="K479" s="18">
        <f>IF(A479="","",SUMIF(Leads!$P$2:$P$501,A479,Leads!$R$2:$R$501))</f>
        <v/>
      </c>
      <c r="L479" s="18">
        <f>IF(A479="","",IF(I479&gt;=3,Settings!$B$6,0))</f>
        <v/>
      </c>
      <c r="M479" s="18">
        <f>IF(A479="","",J479+L479)</f>
        <v/>
      </c>
      <c r="N479" s="18" t="n"/>
      <c r="O479" s="18">
        <f>IF(A479="","",M479-N479)</f>
        <v/>
      </c>
      <c r="P479" s="17" t="n"/>
    </row>
    <row r="480">
      <c r="A480" s="17" t="n"/>
      <c r="B480" s="17" t="n"/>
      <c r="C480" s="17" t="n"/>
      <c r="D480" s="17" t="n"/>
      <c r="E480" s="17" t="n"/>
      <c r="F480" s="16" t="n"/>
      <c r="G480" s="17" t="n"/>
      <c r="H480" s="17">
        <f>IF(A480="","",COUNTIF(Leads!$P$2:$P$501,A480))</f>
        <v/>
      </c>
      <c r="I480" s="17">
        <f>IF(A480="","",COUNTIFS(Leads!$P$2:$P$501,A480,Leads!$I$2:$I$501,"Won",Leads!$N$2:$N$501,"&gt;="&amp;Settings!$B$7))</f>
        <v/>
      </c>
      <c r="J480" s="18">
        <f>IF(A480="","",SUMIF(Leads!$P$2:$P$501,A480,Leads!$Q$2:$Q$501))</f>
        <v/>
      </c>
      <c r="K480" s="18">
        <f>IF(A480="","",SUMIF(Leads!$P$2:$P$501,A480,Leads!$R$2:$R$501))</f>
        <v/>
      </c>
      <c r="L480" s="18">
        <f>IF(A480="","",IF(I480&gt;=3,Settings!$B$6,0))</f>
        <v/>
      </c>
      <c r="M480" s="18">
        <f>IF(A480="","",J480+L480)</f>
        <v/>
      </c>
      <c r="N480" s="18" t="n"/>
      <c r="O480" s="18">
        <f>IF(A480="","",M480-N480)</f>
        <v/>
      </c>
      <c r="P480" s="17" t="n"/>
    </row>
    <row r="481">
      <c r="A481" s="17" t="n"/>
      <c r="B481" s="17" t="n"/>
      <c r="C481" s="17" t="n"/>
      <c r="D481" s="17" t="n"/>
      <c r="E481" s="17" t="n"/>
      <c r="F481" s="16" t="n"/>
      <c r="G481" s="17" t="n"/>
      <c r="H481" s="17">
        <f>IF(A481="","",COUNTIF(Leads!$P$2:$P$501,A481))</f>
        <v/>
      </c>
      <c r="I481" s="17">
        <f>IF(A481="","",COUNTIFS(Leads!$P$2:$P$501,A481,Leads!$I$2:$I$501,"Won",Leads!$N$2:$N$501,"&gt;="&amp;Settings!$B$7))</f>
        <v/>
      </c>
      <c r="J481" s="18">
        <f>IF(A481="","",SUMIF(Leads!$P$2:$P$501,A481,Leads!$Q$2:$Q$501))</f>
        <v/>
      </c>
      <c r="K481" s="18">
        <f>IF(A481="","",SUMIF(Leads!$P$2:$P$501,A481,Leads!$R$2:$R$501))</f>
        <v/>
      </c>
      <c r="L481" s="18">
        <f>IF(A481="","",IF(I481&gt;=3,Settings!$B$6,0))</f>
        <v/>
      </c>
      <c r="M481" s="18">
        <f>IF(A481="","",J481+L481)</f>
        <v/>
      </c>
      <c r="N481" s="18" t="n"/>
      <c r="O481" s="18">
        <f>IF(A481="","",M481-N481)</f>
        <v/>
      </c>
      <c r="P481" s="17" t="n"/>
    </row>
    <row r="482">
      <c r="A482" s="17" t="n"/>
      <c r="B482" s="17" t="n"/>
      <c r="C482" s="17" t="n"/>
      <c r="D482" s="17" t="n"/>
      <c r="E482" s="17" t="n"/>
      <c r="F482" s="16" t="n"/>
      <c r="G482" s="17" t="n"/>
      <c r="H482" s="17">
        <f>IF(A482="","",COUNTIF(Leads!$P$2:$P$501,A482))</f>
        <v/>
      </c>
      <c r="I482" s="17">
        <f>IF(A482="","",COUNTIFS(Leads!$P$2:$P$501,A482,Leads!$I$2:$I$501,"Won",Leads!$N$2:$N$501,"&gt;="&amp;Settings!$B$7))</f>
        <v/>
      </c>
      <c r="J482" s="18">
        <f>IF(A482="","",SUMIF(Leads!$P$2:$P$501,A482,Leads!$Q$2:$Q$501))</f>
        <v/>
      </c>
      <c r="K482" s="18">
        <f>IF(A482="","",SUMIF(Leads!$P$2:$P$501,A482,Leads!$R$2:$R$501))</f>
        <v/>
      </c>
      <c r="L482" s="18">
        <f>IF(A482="","",IF(I482&gt;=3,Settings!$B$6,0))</f>
        <v/>
      </c>
      <c r="M482" s="18">
        <f>IF(A482="","",J482+L482)</f>
        <v/>
      </c>
      <c r="N482" s="18" t="n"/>
      <c r="O482" s="18">
        <f>IF(A482="","",M482-N482)</f>
        <v/>
      </c>
      <c r="P482" s="17" t="n"/>
    </row>
    <row r="483">
      <c r="A483" s="17" t="n"/>
      <c r="B483" s="17" t="n"/>
      <c r="C483" s="17" t="n"/>
      <c r="D483" s="17" t="n"/>
      <c r="E483" s="17" t="n"/>
      <c r="F483" s="16" t="n"/>
      <c r="G483" s="17" t="n"/>
      <c r="H483" s="17">
        <f>IF(A483="","",COUNTIF(Leads!$P$2:$P$501,A483))</f>
        <v/>
      </c>
      <c r="I483" s="17">
        <f>IF(A483="","",COUNTIFS(Leads!$P$2:$P$501,A483,Leads!$I$2:$I$501,"Won",Leads!$N$2:$N$501,"&gt;="&amp;Settings!$B$7))</f>
        <v/>
      </c>
      <c r="J483" s="18">
        <f>IF(A483="","",SUMIF(Leads!$P$2:$P$501,A483,Leads!$Q$2:$Q$501))</f>
        <v/>
      </c>
      <c r="K483" s="18">
        <f>IF(A483="","",SUMIF(Leads!$P$2:$P$501,A483,Leads!$R$2:$R$501))</f>
        <v/>
      </c>
      <c r="L483" s="18">
        <f>IF(A483="","",IF(I483&gt;=3,Settings!$B$6,0))</f>
        <v/>
      </c>
      <c r="M483" s="18">
        <f>IF(A483="","",J483+L483)</f>
        <v/>
      </c>
      <c r="N483" s="18" t="n"/>
      <c r="O483" s="18">
        <f>IF(A483="","",M483-N483)</f>
        <v/>
      </c>
      <c r="P483" s="17" t="n"/>
    </row>
    <row r="484">
      <c r="A484" s="17" t="n"/>
      <c r="B484" s="17" t="n"/>
      <c r="C484" s="17" t="n"/>
      <c r="D484" s="17" t="n"/>
      <c r="E484" s="17" t="n"/>
      <c r="F484" s="16" t="n"/>
      <c r="G484" s="17" t="n"/>
      <c r="H484" s="17">
        <f>IF(A484="","",COUNTIF(Leads!$P$2:$P$501,A484))</f>
        <v/>
      </c>
      <c r="I484" s="17">
        <f>IF(A484="","",COUNTIFS(Leads!$P$2:$P$501,A484,Leads!$I$2:$I$501,"Won",Leads!$N$2:$N$501,"&gt;="&amp;Settings!$B$7))</f>
        <v/>
      </c>
      <c r="J484" s="18">
        <f>IF(A484="","",SUMIF(Leads!$P$2:$P$501,A484,Leads!$Q$2:$Q$501))</f>
        <v/>
      </c>
      <c r="K484" s="18">
        <f>IF(A484="","",SUMIF(Leads!$P$2:$P$501,A484,Leads!$R$2:$R$501))</f>
        <v/>
      </c>
      <c r="L484" s="18">
        <f>IF(A484="","",IF(I484&gt;=3,Settings!$B$6,0))</f>
        <v/>
      </c>
      <c r="M484" s="18">
        <f>IF(A484="","",J484+L484)</f>
        <v/>
      </c>
      <c r="N484" s="18" t="n"/>
      <c r="O484" s="18">
        <f>IF(A484="","",M484-N484)</f>
        <v/>
      </c>
      <c r="P484" s="17" t="n"/>
    </row>
    <row r="485">
      <c r="A485" s="17" t="n"/>
      <c r="B485" s="17" t="n"/>
      <c r="C485" s="17" t="n"/>
      <c r="D485" s="17" t="n"/>
      <c r="E485" s="17" t="n"/>
      <c r="F485" s="16" t="n"/>
      <c r="G485" s="17" t="n"/>
      <c r="H485" s="17">
        <f>IF(A485="","",COUNTIF(Leads!$P$2:$P$501,A485))</f>
        <v/>
      </c>
      <c r="I485" s="17">
        <f>IF(A485="","",COUNTIFS(Leads!$P$2:$P$501,A485,Leads!$I$2:$I$501,"Won",Leads!$N$2:$N$501,"&gt;="&amp;Settings!$B$7))</f>
        <v/>
      </c>
      <c r="J485" s="18">
        <f>IF(A485="","",SUMIF(Leads!$P$2:$P$501,A485,Leads!$Q$2:$Q$501))</f>
        <v/>
      </c>
      <c r="K485" s="18">
        <f>IF(A485="","",SUMIF(Leads!$P$2:$P$501,A485,Leads!$R$2:$R$501))</f>
        <v/>
      </c>
      <c r="L485" s="18">
        <f>IF(A485="","",IF(I485&gt;=3,Settings!$B$6,0))</f>
        <v/>
      </c>
      <c r="M485" s="18">
        <f>IF(A485="","",J485+L485)</f>
        <v/>
      </c>
      <c r="N485" s="18" t="n"/>
      <c r="O485" s="18">
        <f>IF(A485="","",M485-N485)</f>
        <v/>
      </c>
      <c r="P485" s="17" t="n"/>
    </row>
    <row r="486">
      <c r="A486" s="17" t="n"/>
      <c r="B486" s="17" t="n"/>
      <c r="C486" s="17" t="n"/>
      <c r="D486" s="17" t="n"/>
      <c r="E486" s="17" t="n"/>
      <c r="F486" s="16" t="n"/>
      <c r="G486" s="17" t="n"/>
      <c r="H486" s="17">
        <f>IF(A486="","",COUNTIF(Leads!$P$2:$P$501,A486))</f>
        <v/>
      </c>
      <c r="I486" s="17">
        <f>IF(A486="","",COUNTIFS(Leads!$P$2:$P$501,A486,Leads!$I$2:$I$501,"Won",Leads!$N$2:$N$501,"&gt;="&amp;Settings!$B$7))</f>
        <v/>
      </c>
      <c r="J486" s="18">
        <f>IF(A486="","",SUMIF(Leads!$P$2:$P$501,A486,Leads!$Q$2:$Q$501))</f>
        <v/>
      </c>
      <c r="K486" s="18">
        <f>IF(A486="","",SUMIF(Leads!$P$2:$P$501,A486,Leads!$R$2:$R$501))</f>
        <v/>
      </c>
      <c r="L486" s="18">
        <f>IF(A486="","",IF(I486&gt;=3,Settings!$B$6,0))</f>
        <v/>
      </c>
      <c r="M486" s="18">
        <f>IF(A486="","",J486+L486)</f>
        <v/>
      </c>
      <c r="N486" s="18" t="n"/>
      <c r="O486" s="18">
        <f>IF(A486="","",M486-N486)</f>
        <v/>
      </c>
      <c r="P486" s="17" t="n"/>
    </row>
    <row r="487">
      <c r="A487" s="17" t="n"/>
      <c r="B487" s="17" t="n"/>
      <c r="C487" s="17" t="n"/>
      <c r="D487" s="17" t="n"/>
      <c r="E487" s="17" t="n"/>
      <c r="F487" s="16" t="n"/>
      <c r="G487" s="17" t="n"/>
      <c r="H487" s="17">
        <f>IF(A487="","",COUNTIF(Leads!$P$2:$P$501,A487))</f>
        <v/>
      </c>
      <c r="I487" s="17">
        <f>IF(A487="","",COUNTIFS(Leads!$P$2:$P$501,A487,Leads!$I$2:$I$501,"Won",Leads!$N$2:$N$501,"&gt;="&amp;Settings!$B$7))</f>
        <v/>
      </c>
      <c r="J487" s="18">
        <f>IF(A487="","",SUMIF(Leads!$P$2:$P$501,A487,Leads!$Q$2:$Q$501))</f>
        <v/>
      </c>
      <c r="K487" s="18">
        <f>IF(A487="","",SUMIF(Leads!$P$2:$P$501,A487,Leads!$R$2:$R$501))</f>
        <v/>
      </c>
      <c r="L487" s="18">
        <f>IF(A487="","",IF(I487&gt;=3,Settings!$B$6,0))</f>
        <v/>
      </c>
      <c r="M487" s="18">
        <f>IF(A487="","",J487+L487)</f>
        <v/>
      </c>
      <c r="N487" s="18" t="n"/>
      <c r="O487" s="18">
        <f>IF(A487="","",M487-N487)</f>
        <v/>
      </c>
      <c r="P487" s="17" t="n"/>
    </row>
    <row r="488">
      <c r="A488" s="17" t="n"/>
      <c r="B488" s="17" t="n"/>
      <c r="C488" s="17" t="n"/>
      <c r="D488" s="17" t="n"/>
      <c r="E488" s="17" t="n"/>
      <c r="F488" s="16" t="n"/>
      <c r="G488" s="17" t="n"/>
      <c r="H488" s="17">
        <f>IF(A488="","",COUNTIF(Leads!$P$2:$P$501,A488))</f>
        <v/>
      </c>
      <c r="I488" s="17">
        <f>IF(A488="","",COUNTIFS(Leads!$P$2:$P$501,A488,Leads!$I$2:$I$501,"Won",Leads!$N$2:$N$501,"&gt;="&amp;Settings!$B$7))</f>
        <v/>
      </c>
      <c r="J488" s="18">
        <f>IF(A488="","",SUMIF(Leads!$P$2:$P$501,A488,Leads!$Q$2:$Q$501))</f>
        <v/>
      </c>
      <c r="K488" s="18">
        <f>IF(A488="","",SUMIF(Leads!$P$2:$P$501,A488,Leads!$R$2:$R$501))</f>
        <v/>
      </c>
      <c r="L488" s="18">
        <f>IF(A488="","",IF(I488&gt;=3,Settings!$B$6,0))</f>
        <v/>
      </c>
      <c r="M488" s="18">
        <f>IF(A488="","",J488+L488)</f>
        <v/>
      </c>
      <c r="N488" s="18" t="n"/>
      <c r="O488" s="18">
        <f>IF(A488="","",M488-N488)</f>
        <v/>
      </c>
      <c r="P488" s="17" t="n"/>
    </row>
    <row r="489">
      <c r="A489" s="17" t="n"/>
      <c r="B489" s="17" t="n"/>
      <c r="C489" s="17" t="n"/>
      <c r="D489" s="17" t="n"/>
      <c r="E489" s="17" t="n"/>
      <c r="F489" s="16" t="n"/>
      <c r="G489" s="17" t="n"/>
      <c r="H489" s="17">
        <f>IF(A489="","",COUNTIF(Leads!$P$2:$P$501,A489))</f>
        <v/>
      </c>
      <c r="I489" s="17">
        <f>IF(A489="","",COUNTIFS(Leads!$P$2:$P$501,A489,Leads!$I$2:$I$501,"Won",Leads!$N$2:$N$501,"&gt;="&amp;Settings!$B$7))</f>
        <v/>
      </c>
      <c r="J489" s="18">
        <f>IF(A489="","",SUMIF(Leads!$P$2:$P$501,A489,Leads!$Q$2:$Q$501))</f>
        <v/>
      </c>
      <c r="K489" s="18">
        <f>IF(A489="","",SUMIF(Leads!$P$2:$P$501,A489,Leads!$R$2:$R$501))</f>
        <v/>
      </c>
      <c r="L489" s="18">
        <f>IF(A489="","",IF(I489&gt;=3,Settings!$B$6,0))</f>
        <v/>
      </c>
      <c r="M489" s="18">
        <f>IF(A489="","",J489+L489)</f>
        <v/>
      </c>
      <c r="N489" s="18" t="n"/>
      <c r="O489" s="18">
        <f>IF(A489="","",M489-N489)</f>
        <v/>
      </c>
      <c r="P489" s="17" t="n"/>
    </row>
    <row r="490">
      <c r="A490" s="17" t="n"/>
      <c r="B490" s="17" t="n"/>
      <c r="C490" s="17" t="n"/>
      <c r="D490" s="17" t="n"/>
      <c r="E490" s="17" t="n"/>
      <c r="F490" s="16" t="n"/>
      <c r="G490" s="17" t="n"/>
      <c r="H490" s="17">
        <f>IF(A490="","",COUNTIF(Leads!$P$2:$P$501,A490))</f>
        <v/>
      </c>
      <c r="I490" s="17">
        <f>IF(A490="","",COUNTIFS(Leads!$P$2:$P$501,A490,Leads!$I$2:$I$501,"Won",Leads!$N$2:$N$501,"&gt;="&amp;Settings!$B$7))</f>
        <v/>
      </c>
      <c r="J490" s="18">
        <f>IF(A490="","",SUMIF(Leads!$P$2:$P$501,A490,Leads!$Q$2:$Q$501))</f>
        <v/>
      </c>
      <c r="K490" s="18">
        <f>IF(A490="","",SUMIF(Leads!$P$2:$P$501,A490,Leads!$R$2:$R$501))</f>
        <v/>
      </c>
      <c r="L490" s="18">
        <f>IF(A490="","",IF(I490&gt;=3,Settings!$B$6,0))</f>
        <v/>
      </c>
      <c r="M490" s="18">
        <f>IF(A490="","",J490+L490)</f>
        <v/>
      </c>
      <c r="N490" s="18" t="n"/>
      <c r="O490" s="18">
        <f>IF(A490="","",M490-N490)</f>
        <v/>
      </c>
      <c r="P490" s="17" t="n"/>
    </row>
    <row r="491">
      <c r="A491" s="17" t="n"/>
      <c r="B491" s="17" t="n"/>
      <c r="C491" s="17" t="n"/>
      <c r="D491" s="17" t="n"/>
      <c r="E491" s="17" t="n"/>
      <c r="F491" s="16" t="n"/>
      <c r="G491" s="17" t="n"/>
      <c r="H491" s="17">
        <f>IF(A491="","",COUNTIF(Leads!$P$2:$P$501,A491))</f>
        <v/>
      </c>
      <c r="I491" s="17">
        <f>IF(A491="","",COUNTIFS(Leads!$P$2:$P$501,A491,Leads!$I$2:$I$501,"Won",Leads!$N$2:$N$501,"&gt;="&amp;Settings!$B$7))</f>
        <v/>
      </c>
      <c r="J491" s="18">
        <f>IF(A491="","",SUMIF(Leads!$P$2:$P$501,A491,Leads!$Q$2:$Q$501))</f>
        <v/>
      </c>
      <c r="K491" s="18">
        <f>IF(A491="","",SUMIF(Leads!$P$2:$P$501,A491,Leads!$R$2:$R$501))</f>
        <v/>
      </c>
      <c r="L491" s="18">
        <f>IF(A491="","",IF(I491&gt;=3,Settings!$B$6,0))</f>
        <v/>
      </c>
      <c r="M491" s="18">
        <f>IF(A491="","",J491+L491)</f>
        <v/>
      </c>
      <c r="N491" s="18" t="n"/>
      <c r="O491" s="18">
        <f>IF(A491="","",M491-N491)</f>
        <v/>
      </c>
      <c r="P491" s="17" t="n"/>
    </row>
    <row r="492">
      <c r="A492" s="17" t="n"/>
      <c r="B492" s="17" t="n"/>
      <c r="C492" s="17" t="n"/>
      <c r="D492" s="17" t="n"/>
      <c r="E492" s="17" t="n"/>
      <c r="F492" s="16" t="n"/>
      <c r="G492" s="17" t="n"/>
      <c r="H492" s="17">
        <f>IF(A492="","",COUNTIF(Leads!$P$2:$P$501,A492))</f>
        <v/>
      </c>
      <c r="I492" s="17">
        <f>IF(A492="","",COUNTIFS(Leads!$P$2:$P$501,A492,Leads!$I$2:$I$501,"Won",Leads!$N$2:$N$501,"&gt;="&amp;Settings!$B$7))</f>
        <v/>
      </c>
      <c r="J492" s="18">
        <f>IF(A492="","",SUMIF(Leads!$P$2:$P$501,A492,Leads!$Q$2:$Q$501))</f>
        <v/>
      </c>
      <c r="K492" s="18">
        <f>IF(A492="","",SUMIF(Leads!$P$2:$P$501,A492,Leads!$R$2:$R$501))</f>
        <v/>
      </c>
      <c r="L492" s="18">
        <f>IF(A492="","",IF(I492&gt;=3,Settings!$B$6,0))</f>
        <v/>
      </c>
      <c r="M492" s="18">
        <f>IF(A492="","",J492+L492)</f>
        <v/>
      </c>
      <c r="N492" s="18" t="n"/>
      <c r="O492" s="18">
        <f>IF(A492="","",M492-N492)</f>
        <v/>
      </c>
      <c r="P492" s="17" t="n"/>
    </row>
    <row r="493">
      <c r="A493" s="17" t="n"/>
      <c r="B493" s="17" t="n"/>
      <c r="C493" s="17" t="n"/>
      <c r="D493" s="17" t="n"/>
      <c r="E493" s="17" t="n"/>
      <c r="F493" s="16" t="n"/>
      <c r="G493" s="17" t="n"/>
      <c r="H493" s="17">
        <f>IF(A493="","",COUNTIF(Leads!$P$2:$P$501,A493))</f>
        <v/>
      </c>
      <c r="I493" s="17">
        <f>IF(A493="","",COUNTIFS(Leads!$P$2:$P$501,A493,Leads!$I$2:$I$501,"Won",Leads!$N$2:$N$501,"&gt;="&amp;Settings!$B$7))</f>
        <v/>
      </c>
      <c r="J493" s="18">
        <f>IF(A493="","",SUMIF(Leads!$P$2:$P$501,A493,Leads!$Q$2:$Q$501))</f>
        <v/>
      </c>
      <c r="K493" s="18">
        <f>IF(A493="","",SUMIF(Leads!$P$2:$P$501,A493,Leads!$R$2:$R$501))</f>
        <v/>
      </c>
      <c r="L493" s="18">
        <f>IF(A493="","",IF(I493&gt;=3,Settings!$B$6,0))</f>
        <v/>
      </c>
      <c r="M493" s="18">
        <f>IF(A493="","",J493+L493)</f>
        <v/>
      </c>
      <c r="N493" s="18" t="n"/>
      <c r="O493" s="18">
        <f>IF(A493="","",M493-N493)</f>
        <v/>
      </c>
      <c r="P493" s="17" t="n"/>
    </row>
    <row r="494">
      <c r="A494" s="17" t="n"/>
      <c r="B494" s="17" t="n"/>
      <c r="C494" s="17" t="n"/>
      <c r="D494" s="17" t="n"/>
      <c r="E494" s="17" t="n"/>
      <c r="F494" s="16" t="n"/>
      <c r="G494" s="17" t="n"/>
      <c r="H494" s="17">
        <f>IF(A494="","",COUNTIF(Leads!$P$2:$P$501,A494))</f>
        <v/>
      </c>
      <c r="I494" s="17">
        <f>IF(A494="","",COUNTIFS(Leads!$P$2:$P$501,A494,Leads!$I$2:$I$501,"Won",Leads!$N$2:$N$501,"&gt;="&amp;Settings!$B$7))</f>
        <v/>
      </c>
      <c r="J494" s="18">
        <f>IF(A494="","",SUMIF(Leads!$P$2:$P$501,A494,Leads!$Q$2:$Q$501))</f>
        <v/>
      </c>
      <c r="K494" s="18">
        <f>IF(A494="","",SUMIF(Leads!$P$2:$P$501,A494,Leads!$R$2:$R$501))</f>
        <v/>
      </c>
      <c r="L494" s="18">
        <f>IF(A494="","",IF(I494&gt;=3,Settings!$B$6,0))</f>
        <v/>
      </c>
      <c r="M494" s="18">
        <f>IF(A494="","",J494+L494)</f>
        <v/>
      </c>
      <c r="N494" s="18" t="n"/>
      <c r="O494" s="18">
        <f>IF(A494="","",M494-N494)</f>
        <v/>
      </c>
      <c r="P494" s="17" t="n"/>
    </row>
    <row r="495">
      <c r="A495" s="17" t="n"/>
      <c r="B495" s="17" t="n"/>
      <c r="C495" s="17" t="n"/>
      <c r="D495" s="17" t="n"/>
      <c r="E495" s="17" t="n"/>
      <c r="F495" s="16" t="n"/>
      <c r="G495" s="17" t="n"/>
      <c r="H495" s="17">
        <f>IF(A495="","",COUNTIF(Leads!$P$2:$P$501,A495))</f>
        <v/>
      </c>
      <c r="I495" s="17">
        <f>IF(A495="","",COUNTIFS(Leads!$P$2:$P$501,A495,Leads!$I$2:$I$501,"Won",Leads!$N$2:$N$501,"&gt;="&amp;Settings!$B$7))</f>
        <v/>
      </c>
      <c r="J495" s="18">
        <f>IF(A495="","",SUMIF(Leads!$P$2:$P$501,A495,Leads!$Q$2:$Q$501))</f>
        <v/>
      </c>
      <c r="K495" s="18">
        <f>IF(A495="","",SUMIF(Leads!$P$2:$P$501,A495,Leads!$R$2:$R$501))</f>
        <v/>
      </c>
      <c r="L495" s="18">
        <f>IF(A495="","",IF(I495&gt;=3,Settings!$B$6,0))</f>
        <v/>
      </c>
      <c r="M495" s="18">
        <f>IF(A495="","",J495+L495)</f>
        <v/>
      </c>
      <c r="N495" s="18" t="n"/>
      <c r="O495" s="18">
        <f>IF(A495="","",M495-N495)</f>
        <v/>
      </c>
      <c r="P495" s="17" t="n"/>
    </row>
    <row r="496">
      <c r="A496" s="17" t="n"/>
      <c r="B496" s="17" t="n"/>
      <c r="C496" s="17" t="n"/>
      <c r="D496" s="17" t="n"/>
      <c r="E496" s="17" t="n"/>
      <c r="F496" s="16" t="n"/>
      <c r="G496" s="17" t="n"/>
      <c r="H496" s="17">
        <f>IF(A496="","",COUNTIF(Leads!$P$2:$P$501,A496))</f>
        <v/>
      </c>
      <c r="I496" s="17">
        <f>IF(A496="","",COUNTIFS(Leads!$P$2:$P$501,A496,Leads!$I$2:$I$501,"Won",Leads!$N$2:$N$501,"&gt;="&amp;Settings!$B$7))</f>
        <v/>
      </c>
      <c r="J496" s="18">
        <f>IF(A496="","",SUMIF(Leads!$P$2:$P$501,A496,Leads!$Q$2:$Q$501))</f>
        <v/>
      </c>
      <c r="K496" s="18">
        <f>IF(A496="","",SUMIF(Leads!$P$2:$P$501,A496,Leads!$R$2:$R$501))</f>
        <v/>
      </c>
      <c r="L496" s="18">
        <f>IF(A496="","",IF(I496&gt;=3,Settings!$B$6,0))</f>
        <v/>
      </c>
      <c r="M496" s="18">
        <f>IF(A496="","",J496+L496)</f>
        <v/>
      </c>
      <c r="N496" s="18" t="n"/>
      <c r="O496" s="18">
        <f>IF(A496="","",M496-N496)</f>
        <v/>
      </c>
      <c r="P496" s="17" t="n"/>
    </row>
    <row r="497">
      <c r="A497" s="17" t="n"/>
      <c r="B497" s="17" t="n"/>
      <c r="C497" s="17" t="n"/>
      <c r="D497" s="17" t="n"/>
      <c r="E497" s="17" t="n"/>
      <c r="F497" s="16" t="n"/>
      <c r="G497" s="17" t="n"/>
      <c r="H497" s="17">
        <f>IF(A497="","",COUNTIF(Leads!$P$2:$P$501,A497))</f>
        <v/>
      </c>
      <c r="I497" s="17">
        <f>IF(A497="","",COUNTIFS(Leads!$P$2:$P$501,A497,Leads!$I$2:$I$501,"Won",Leads!$N$2:$N$501,"&gt;="&amp;Settings!$B$7))</f>
        <v/>
      </c>
      <c r="J497" s="18">
        <f>IF(A497="","",SUMIF(Leads!$P$2:$P$501,A497,Leads!$Q$2:$Q$501))</f>
        <v/>
      </c>
      <c r="K497" s="18">
        <f>IF(A497="","",SUMIF(Leads!$P$2:$P$501,A497,Leads!$R$2:$R$501))</f>
        <v/>
      </c>
      <c r="L497" s="18">
        <f>IF(A497="","",IF(I497&gt;=3,Settings!$B$6,0))</f>
        <v/>
      </c>
      <c r="M497" s="18">
        <f>IF(A497="","",J497+L497)</f>
        <v/>
      </c>
      <c r="N497" s="18" t="n"/>
      <c r="O497" s="18">
        <f>IF(A497="","",M497-N497)</f>
        <v/>
      </c>
      <c r="P497" s="17" t="n"/>
    </row>
    <row r="498">
      <c r="A498" s="17" t="n"/>
      <c r="B498" s="17" t="n"/>
      <c r="C498" s="17" t="n"/>
      <c r="D498" s="17" t="n"/>
      <c r="E498" s="17" t="n"/>
      <c r="F498" s="16" t="n"/>
      <c r="G498" s="17" t="n"/>
      <c r="H498" s="17">
        <f>IF(A498="","",COUNTIF(Leads!$P$2:$P$501,A498))</f>
        <v/>
      </c>
      <c r="I498" s="17">
        <f>IF(A498="","",COUNTIFS(Leads!$P$2:$P$501,A498,Leads!$I$2:$I$501,"Won",Leads!$N$2:$N$501,"&gt;="&amp;Settings!$B$7))</f>
        <v/>
      </c>
      <c r="J498" s="18">
        <f>IF(A498="","",SUMIF(Leads!$P$2:$P$501,A498,Leads!$Q$2:$Q$501))</f>
        <v/>
      </c>
      <c r="K498" s="18">
        <f>IF(A498="","",SUMIF(Leads!$P$2:$P$501,A498,Leads!$R$2:$R$501))</f>
        <v/>
      </c>
      <c r="L498" s="18">
        <f>IF(A498="","",IF(I498&gt;=3,Settings!$B$6,0))</f>
        <v/>
      </c>
      <c r="M498" s="18">
        <f>IF(A498="","",J498+L498)</f>
        <v/>
      </c>
      <c r="N498" s="18" t="n"/>
      <c r="O498" s="18">
        <f>IF(A498="","",M498-N498)</f>
        <v/>
      </c>
      <c r="P498" s="17" t="n"/>
    </row>
    <row r="499">
      <c r="A499" s="17" t="n"/>
      <c r="B499" s="17" t="n"/>
      <c r="C499" s="17" t="n"/>
      <c r="D499" s="17" t="n"/>
      <c r="E499" s="17" t="n"/>
      <c r="F499" s="16" t="n"/>
      <c r="G499" s="17" t="n"/>
      <c r="H499" s="17">
        <f>IF(A499="","",COUNTIF(Leads!$P$2:$P$501,A499))</f>
        <v/>
      </c>
      <c r="I499" s="17">
        <f>IF(A499="","",COUNTIFS(Leads!$P$2:$P$501,A499,Leads!$I$2:$I$501,"Won",Leads!$N$2:$N$501,"&gt;="&amp;Settings!$B$7))</f>
        <v/>
      </c>
      <c r="J499" s="18">
        <f>IF(A499="","",SUMIF(Leads!$P$2:$P$501,A499,Leads!$Q$2:$Q$501))</f>
        <v/>
      </c>
      <c r="K499" s="18">
        <f>IF(A499="","",SUMIF(Leads!$P$2:$P$501,A499,Leads!$R$2:$R$501))</f>
        <v/>
      </c>
      <c r="L499" s="18">
        <f>IF(A499="","",IF(I499&gt;=3,Settings!$B$6,0))</f>
        <v/>
      </c>
      <c r="M499" s="18">
        <f>IF(A499="","",J499+L499)</f>
        <v/>
      </c>
      <c r="N499" s="18" t="n"/>
      <c r="O499" s="18">
        <f>IF(A499="","",M499-N499)</f>
        <v/>
      </c>
      <c r="P499" s="17" t="n"/>
    </row>
    <row r="500">
      <c r="A500" s="17" t="n"/>
      <c r="B500" s="17" t="n"/>
      <c r="C500" s="17" t="n"/>
      <c r="D500" s="17" t="n"/>
      <c r="E500" s="17" t="n"/>
      <c r="F500" s="16" t="n"/>
      <c r="G500" s="17" t="n"/>
      <c r="H500" s="17">
        <f>IF(A500="","",COUNTIF(Leads!$P$2:$P$501,A500))</f>
        <v/>
      </c>
      <c r="I500" s="17">
        <f>IF(A500="","",COUNTIFS(Leads!$P$2:$P$501,A500,Leads!$I$2:$I$501,"Won",Leads!$N$2:$N$501,"&gt;="&amp;Settings!$B$7))</f>
        <v/>
      </c>
      <c r="J500" s="18">
        <f>IF(A500="","",SUMIF(Leads!$P$2:$P$501,A500,Leads!$Q$2:$Q$501))</f>
        <v/>
      </c>
      <c r="K500" s="18">
        <f>IF(A500="","",SUMIF(Leads!$P$2:$P$501,A500,Leads!$R$2:$R$501))</f>
        <v/>
      </c>
      <c r="L500" s="18">
        <f>IF(A500="","",IF(I500&gt;=3,Settings!$B$6,0))</f>
        <v/>
      </c>
      <c r="M500" s="18">
        <f>IF(A500="","",J500+L500)</f>
        <v/>
      </c>
      <c r="N500" s="18" t="n"/>
      <c r="O500" s="18">
        <f>IF(A500="","",M500-N500)</f>
        <v/>
      </c>
      <c r="P500" s="17" t="n"/>
    </row>
    <row r="501">
      <c r="A501" s="17" t="n"/>
      <c r="B501" s="17" t="n"/>
      <c r="C501" s="17" t="n"/>
      <c r="D501" s="17" t="n"/>
      <c r="E501" s="17" t="n"/>
      <c r="F501" s="16" t="n"/>
      <c r="G501" s="17" t="n"/>
      <c r="H501" s="17">
        <f>IF(A501="","",COUNTIF(Leads!$P$2:$P$501,A501))</f>
        <v/>
      </c>
      <c r="I501" s="17">
        <f>IF(A501="","",COUNTIFS(Leads!$P$2:$P$501,A501,Leads!$I$2:$I$501,"Won",Leads!$N$2:$N$501,"&gt;="&amp;Settings!$B$7))</f>
        <v/>
      </c>
      <c r="J501" s="18">
        <f>IF(A501="","",SUMIF(Leads!$P$2:$P$501,A501,Leads!$Q$2:$Q$501))</f>
        <v/>
      </c>
      <c r="K501" s="18">
        <f>IF(A501="","",SUMIF(Leads!$P$2:$P$501,A501,Leads!$R$2:$R$501))</f>
        <v/>
      </c>
      <c r="L501" s="18">
        <f>IF(A501="","",IF(I501&gt;=3,Settings!$B$6,0))</f>
        <v/>
      </c>
      <c r="M501" s="18">
        <f>IF(A501="","",J501+L501)</f>
        <v/>
      </c>
      <c r="N501" s="18" t="n"/>
      <c r="O501" s="18">
        <f>IF(A501="","",M501-N501)</f>
        <v/>
      </c>
      <c r="P501" s="17" t="n"/>
    </row>
  </sheetData>
  <autoFilter ref="A1:P501"/>
  <dataValidations count="2">
    <dataValidation sqref="C2:C501" showDropDown="0" showInputMessage="0" showErrorMessage="0" allowBlank="1" error="Pick from the list (edit options on the Lists tab)." type="list" errorStyle="warning">
      <formula1>=Lists!$F$2:$F$11</formula1>
    </dataValidation>
    <dataValidation sqref="G2:G501" showDropDown="0" showInputMessage="0" showErrorMessage="0" allowBlank="1" error="Pick from the list (edit options on the Lists tab)." type="list" errorStyle="warning">
      <formula1>=Lists!$E$2:$E$3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70" customWidth="1" min="3" max="3"/>
  </cols>
  <sheetData>
    <row r="1" ht="32" customHeight="1">
      <c r="A1" s="3" t="inlineStr">
        <is>
          <t>Setting</t>
        </is>
      </c>
      <c r="B1" s="3" t="inlineStr">
        <is>
          <t>Value</t>
        </is>
      </c>
      <c r="C1" s="3" t="inlineStr">
        <is>
          <t>Note</t>
        </is>
      </c>
    </row>
    <row r="2">
      <c r="A2" s="4" t="inlineStr">
        <is>
          <t>Commission on first project</t>
        </is>
      </c>
      <c r="B2" s="19" t="n">
        <v>0.15</v>
      </c>
      <c r="C2" s="4" t="inlineStr">
        <is>
          <t>Share of the first project value paid to the referrer (your choice; set from your margin).</t>
        </is>
      </c>
    </row>
    <row r="3">
      <c r="A3" s="4" t="inlineStr">
        <is>
          <t>Commission cap per project (£)</t>
        </is>
      </c>
      <c r="B3" s="20" t="n">
        <v>750</v>
      </c>
      <c r="C3" s="4" t="inlineStr">
        <is>
          <t>Maximum commission on one first project (your choice).</t>
        </is>
      </c>
    </row>
    <row r="4">
      <c r="A4" s="4" t="inlineStr">
        <is>
          <t>Retainer commission rate</t>
        </is>
      </c>
      <c r="B4" s="19" t="n">
        <v>0.1</v>
      </c>
      <c r="C4" s="4" t="inlineStr">
        <is>
          <t>Share of monthly retainer paid to referrer (your choice).</t>
        </is>
      </c>
    </row>
    <row r="5">
      <c r="A5" s="4" t="inlineStr">
        <is>
          <t>Retainer commission months</t>
        </is>
      </c>
      <c r="B5" s="21" t="n">
        <v>6</v>
      </c>
      <c r="C5" s="4" t="inlineStr">
        <is>
          <t>How many paid months the retainer commission lasts (your choice).</t>
        </is>
      </c>
    </row>
    <row r="6">
      <c r="A6" s="4" t="inlineStr">
        <is>
          <t>3rd-referral bonus (£)</t>
        </is>
      </c>
      <c r="B6" s="20" t="n">
        <v>150</v>
      </c>
      <c r="C6" s="4" t="inlineStr">
        <is>
          <t>One-off bonus when a partner's 3rd referred deal is Won (your choice).</t>
        </is>
      </c>
    </row>
    <row r="7">
      <c r="A7" s="4" t="inlineStr">
        <is>
          <t>Minimum deal to qualify (£)</t>
        </is>
      </c>
      <c r="B7" s="20" t="n">
        <v>500</v>
      </c>
      <c r="C7" s="4" t="inlineStr">
        <is>
          <t>Deals below this earn no commission (your choice).</t>
        </is>
      </c>
    </row>
    <row r="8">
      <c r="A8" s="4" t="inlineStr">
        <is>
          <t>Follow-up after (days)</t>
        </is>
      </c>
      <c r="B8" s="21" t="n">
        <v>4</v>
      </c>
      <c r="C8" s="4" t="inlineStr">
        <is>
          <t>Follow-up due date = contacted date + this.</t>
        </is>
      </c>
    </row>
    <row r="11">
      <c r="A11" s="10" t="inlineStr">
        <is>
          <t>Links (filled in by the Apps Script)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2" t="inlineStr">
        <is>
          <t>How to use this tracker</t>
        </is>
      </c>
    </row>
    <row r="2">
      <c r="A2" s="23" t="inlineStr">
        <is>
          <t>Yellow cells (Settings tab) are inputs you can change. Grey italic rows on Leads and Partners are EXAMPLES – delete them before you start.</t>
        </is>
      </c>
    </row>
    <row r="3">
      <c r="A3" s="23" t="inlineStr"/>
    </row>
    <row r="4">
      <c r="A4" s="23" t="inlineStr">
        <is>
          <t>Leads tab – one row per person you find. Fill: Date found, Name, Business, Country, Platform, Source, Link, Need, Status.</t>
        </is>
      </c>
    </row>
    <row r="5">
      <c r="A5" s="23" t="inlineStr">
        <is>
          <t xml:space="preserve">  • When you message them, put the date in 'Contacted on'. 'Follow-up due' fills itself and turns red when due.</t>
        </is>
      </c>
    </row>
    <row r="6">
      <c r="A6" s="23" t="inlineStr">
        <is>
          <t xml:space="preserve">  • Set 'Replied?' / 'Call held?' to Yes as they happen, and move Status along: New → Contacted → Replied → Call booked → Proposal sent → Won / Lost.</t>
        </is>
      </c>
    </row>
    <row r="7">
      <c r="A7" s="23" t="inlineStr">
        <is>
          <t xml:space="preserve">  • If a partner referred them, pick the partner code in 'Referred by'. Commission columns calculate themselves when Status = Won.</t>
        </is>
      </c>
    </row>
    <row r="8">
      <c r="A8" s="23" t="inlineStr">
        <is>
          <t>Partners tab – one row per referral partner. Give each a short unique code (e.g. JANE01). Counts and commission pull from Leads automatically.</t>
        </is>
      </c>
    </row>
    <row r="9">
      <c r="A9" s="23" t="inlineStr">
        <is>
          <t xml:space="preserve">  • Type what you've actually paid in 'Paid to date'; 'Owed' = earned − paid. Pay 30 days after the client's payment clears.</t>
        </is>
      </c>
    </row>
    <row r="10">
      <c r="A10" s="23" t="inlineStr">
        <is>
          <t>Dashboard – reply/call/close rate per platform. After 30 days, double down on the best row and drop the worst.</t>
        </is>
      </c>
    </row>
    <row r="11">
      <c r="A11" s="23" t="inlineStr">
        <is>
          <t>Lists tab – edit dropdown options here (e.g. add a platform).</t>
        </is>
      </c>
    </row>
    <row r="12">
      <c r="A12" s="23" t="inlineStr"/>
    </row>
    <row r="13">
      <c r="A13" s="23" t="inlineStr">
        <is>
          <t>Google Sheets: File → Import → Upload this file → 'Replace spreadsheet'. Then Extensions → Apps Script → paste referral-forms.gs → Run createReferralForms.</t>
        </is>
      </c>
    </row>
    <row r="14">
      <c r="A14" s="23" t="inlineStr">
        <is>
          <t>Data protection (UK GDPR): you're storing personal data. Only log public/business info you need, and delete leads that go nowhere after ~6 months.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24" t="inlineStr">
        <is>
          <t>Platform</t>
        </is>
      </c>
      <c r="B1" s="24" t="inlineStr">
        <is>
          <t>Source</t>
        </is>
      </c>
      <c r="C1" s="24" t="inlineStr">
        <is>
          <t>Need</t>
        </is>
      </c>
      <c r="D1" s="24" t="inlineStr">
        <is>
          <t>Status</t>
        </is>
      </c>
      <c r="E1" s="24" t="inlineStr">
        <is>
          <t>YesNo</t>
        </is>
      </c>
      <c r="F1" s="24" t="inlineStr">
        <is>
          <t>PartnerType</t>
        </is>
      </c>
    </row>
    <row r="2">
      <c r="A2" s="4" t="inlineStr">
        <is>
          <t>LinkedIn</t>
        </is>
      </c>
      <c r="B2" s="4" t="inlineStr">
        <is>
          <t>Hire request</t>
        </is>
      </c>
      <c r="C2" s="4" t="inlineStr">
        <is>
          <t>Website</t>
        </is>
      </c>
      <c r="D2" s="4" t="inlineStr">
        <is>
          <t>New</t>
        </is>
      </c>
      <c r="E2" s="4" t="inlineStr">
        <is>
          <t>Yes</t>
        </is>
      </c>
      <c r="F2" s="4" t="inlineStr">
        <is>
          <t>Past client</t>
        </is>
      </c>
    </row>
    <row r="3">
      <c r="A3" s="4" t="inlineStr">
        <is>
          <t>Facebook</t>
        </is>
      </c>
      <c r="B3" s="4" t="inlineStr">
        <is>
          <t>Question/problem post</t>
        </is>
      </c>
      <c r="C3" s="4" t="inlineStr">
        <is>
          <t>AI automation</t>
        </is>
      </c>
      <c r="D3" s="4" t="inlineStr">
        <is>
          <t>Contacted</t>
        </is>
      </c>
      <c r="E3" s="4" t="inlineStr">
        <is>
          <t>No</t>
        </is>
      </c>
      <c r="F3" s="4" t="inlineStr">
        <is>
          <t>Accountant/bookkeeper</t>
        </is>
      </c>
    </row>
    <row r="4">
      <c r="A4" s="4" t="inlineStr">
        <is>
          <t>Instagram</t>
        </is>
      </c>
      <c r="B4" s="4" t="inlineStr">
        <is>
          <t>Tutorial commenter</t>
        </is>
      </c>
      <c r="C4" s="4" t="inlineStr">
        <is>
          <t>Both</t>
        </is>
      </c>
      <c r="D4" s="4" t="inlineStr">
        <is>
          <t>Replied</t>
        </is>
      </c>
      <c r="F4" s="4" t="inlineStr">
        <is>
          <t>Marketer/agency</t>
        </is>
      </c>
    </row>
    <row r="5">
      <c r="A5" s="4" t="inlineStr">
        <is>
          <t>YouTube</t>
        </is>
      </c>
      <c r="B5" s="4" t="inlineStr">
        <is>
          <t>Outbound audit</t>
        </is>
      </c>
      <c r="C5" s="4" t="inlineStr">
        <is>
          <t>Not sure</t>
        </is>
      </c>
      <c r="D5" s="4" t="inlineStr">
        <is>
          <t>Call booked</t>
        </is>
      </c>
      <c r="F5" s="4" t="inlineStr">
        <is>
          <t>Designer</t>
        </is>
      </c>
    </row>
    <row r="6">
      <c r="A6" s="4" t="inlineStr">
        <is>
          <t>Discord</t>
        </is>
      </c>
      <c r="B6" s="4" t="inlineStr">
        <is>
          <t>Referral</t>
        </is>
      </c>
      <c r="D6" s="4" t="inlineStr">
        <is>
          <t>Proposal sent</t>
        </is>
      </c>
      <c r="F6" s="4" t="inlineStr">
        <is>
          <t>Photographer</t>
        </is>
      </c>
    </row>
    <row r="7">
      <c r="A7" s="4" t="inlineStr">
        <is>
          <t>Reddit</t>
        </is>
      </c>
      <c r="B7" s="4" t="inlineStr">
        <is>
          <t>Inbound (content)</t>
        </is>
      </c>
      <c r="D7" s="4" t="inlineStr">
        <is>
          <t>Won</t>
        </is>
      </c>
      <c r="F7" s="4" t="inlineStr">
        <is>
          <t>Coach/consultant</t>
        </is>
      </c>
    </row>
    <row r="8">
      <c r="A8" s="4" t="inlineStr">
        <is>
          <t>X/Twitter</t>
        </is>
      </c>
      <c r="B8" s="4" t="inlineStr">
        <is>
          <t>Past client</t>
        </is>
      </c>
      <c r="D8" s="4" t="inlineStr">
        <is>
          <t>Lost</t>
        </is>
      </c>
      <c r="F8" s="4" t="inlineStr">
        <is>
          <t>Developer</t>
        </is>
      </c>
    </row>
    <row r="9">
      <c r="A9" s="4" t="inlineStr">
        <is>
          <t>Email</t>
        </is>
      </c>
      <c r="B9" s="4" t="inlineStr">
        <is>
          <t>Other</t>
        </is>
      </c>
      <c r="D9" s="4" t="inlineStr">
        <is>
          <t>Not a fit</t>
        </is>
      </c>
      <c r="F9" s="4" t="inlineStr">
        <is>
          <t>Printer/sign shop</t>
        </is>
      </c>
    </row>
    <row r="10">
      <c r="A10" s="4" t="inlineStr">
        <is>
          <t>Google Maps</t>
        </is>
      </c>
      <c r="F10" s="4" t="inlineStr">
        <is>
          <t>Friend/network</t>
        </is>
      </c>
    </row>
    <row r="11">
      <c r="A11" s="4" t="inlineStr">
        <is>
          <t>Referral</t>
        </is>
      </c>
      <c r="F11" s="4" t="inlineStr">
        <is>
          <t>Other</t>
        </is>
      </c>
    </row>
    <row r="12">
      <c r="A12" s="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2026-09-30T11:34:10Z</dcterms:created>
  <dcterms:modified xsi:type="dcterms:W3CDTF">2026-09-30T11:34:11Z</dcterms:modified>
</cp:coreProperties>
</file>